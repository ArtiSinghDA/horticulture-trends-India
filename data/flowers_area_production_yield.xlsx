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\Downloads\"/>
    </mc:Choice>
  </mc:AlternateContent>
  <xr:revisionPtr revIDLastSave="0" documentId="8_{33C82E8A-BE62-4DDD-85EC-9EA8AC6B7287}" xr6:coauthVersionLast="47" xr6:coauthVersionMax="47" xr10:uidLastSave="{00000000-0000-0000-0000-000000000000}"/>
  <bookViews>
    <workbookView xWindow="-108" yWindow="-108" windowWidth="23256" windowHeight="13176" activeTab="9" xr2:uid="{F4A0F3BC-B402-4A98-9DE8-DF23250D078B}"/>
  </bookViews>
  <sheets>
    <sheet name="flw11-12" sheetId="1" r:id="rId1"/>
    <sheet name="12-13" sheetId="2" r:id="rId2"/>
    <sheet name="13-14" sheetId="3" r:id="rId3"/>
    <sheet name="14-15" sheetId="4" r:id="rId4"/>
    <sheet name="15-16" sheetId="5" r:id="rId5"/>
    <sheet name="16-17" sheetId="6" r:id="rId6"/>
    <sheet name="17-18" sheetId="7" r:id="rId7"/>
    <sheet name="18-19" sheetId="8" r:id="rId8"/>
    <sheet name="19-20" sheetId="9" r:id="rId9"/>
    <sheet name="20-21" sheetId="10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9" i="1" l="1"/>
  <c r="J34" i="10"/>
  <c r="N34" i="10"/>
  <c r="R34" i="10"/>
  <c r="V34" i="10"/>
  <c r="Z34" i="10"/>
  <c r="AD34" i="10"/>
  <c r="AH34" i="10"/>
  <c r="AL34" i="10"/>
  <c r="AP34" i="10"/>
  <c r="AT34" i="10"/>
  <c r="F34" i="10"/>
  <c r="J34" i="9"/>
  <c r="N34" i="9"/>
  <c r="R34" i="9"/>
  <c r="V34" i="9"/>
  <c r="Z34" i="9"/>
  <c r="AD34" i="9"/>
  <c r="AH34" i="9"/>
  <c r="AL34" i="9"/>
  <c r="AP34" i="9"/>
  <c r="AT34" i="9"/>
  <c r="F34" i="9"/>
  <c r="J34" i="8"/>
  <c r="N34" i="8"/>
  <c r="R34" i="8"/>
  <c r="V34" i="8"/>
  <c r="Z34" i="8"/>
  <c r="AD34" i="8"/>
  <c r="AH34" i="8"/>
  <c r="AL34" i="8"/>
  <c r="AP34" i="8"/>
  <c r="AT34" i="8"/>
  <c r="AY34" i="8"/>
  <c r="AZ34" i="8"/>
  <c r="BA34" i="8"/>
  <c r="BB34" i="8"/>
  <c r="BC34" i="8"/>
  <c r="BD34" i="8"/>
  <c r="BE34" i="8"/>
  <c r="BF34" i="8"/>
  <c r="F34" i="8"/>
  <c r="J34" i="7"/>
  <c r="N34" i="7"/>
  <c r="R34" i="7"/>
  <c r="V34" i="7"/>
  <c r="Z34" i="7"/>
  <c r="AD34" i="7"/>
  <c r="AH34" i="7"/>
  <c r="AL34" i="7"/>
  <c r="AP34" i="7"/>
  <c r="AT34" i="7"/>
  <c r="F34" i="7"/>
  <c r="E40" i="2"/>
  <c r="K33" i="6"/>
  <c r="L33" i="6"/>
  <c r="M33" i="6"/>
  <c r="J34" i="6"/>
  <c r="N34" i="6"/>
  <c r="R34" i="6"/>
  <c r="V34" i="6"/>
  <c r="Z34" i="6"/>
  <c r="AD34" i="6"/>
  <c r="AH34" i="6"/>
  <c r="AL34" i="6"/>
  <c r="AP34" i="6"/>
  <c r="AT34" i="6"/>
  <c r="F34" i="6"/>
  <c r="AP34" i="5"/>
  <c r="I39" i="4"/>
  <c r="M39" i="4"/>
  <c r="Q39" i="4"/>
  <c r="U39" i="4"/>
  <c r="Y39" i="4"/>
  <c r="AC39" i="4"/>
  <c r="AG39" i="4"/>
  <c r="AK39" i="4"/>
  <c r="AO39" i="4"/>
  <c r="AS39" i="4"/>
  <c r="E39" i="4"/>
  <c r="U41" i="3"/>
  <c r="Y41" i="3"/>
  <c r="AC41" i="3"/>
  <c r="AE41" i="3"/>
  <c r="AG41" i="3"/>
  <c r="AI41" i="3"/>
  <c r="AK41" i="3"/>
  <c r="AO41" i="3"/>
  <c r="AS41" i="3"/>
  <c r="Q41" i="3"/>
  <c r="M40" i="3"/>
  <c r="I40" i="3"/>
  <c r="E40" i="3"/>
  <c r="AS39" i="2"/>
  <c r="AO39" i="2"/>
  <c r="AK39" i="2"/>
  <c r="AG39" i="2"/>
  <c r="AC39" i="2"/>
  <c r="Y39" i="2"/>
  <c r="U39" i="2"/>
  <c r="Q39" i="2"/>
  <c r="M39" i="2"/>
  <c r="I39" i="2"/>
  <c r="E39" i="1"/>
  <c r="E39" i="2"/>
  <c r="AE39" i="1"/>
  <c r="AW39" i="1" l="1"/>
  <c r="AS39" i="1"/>
  <c r="AO39" i="1"/>
  <c r="AK39" i="1"/>
  <c r="AG39" i="1"/>
  <c r="AC39" i="1"/>
  <c r="Y39" i="1"/>
  <c r="U39" i="1"/>
  <c r="Q39" i="1"/>
  <c r="N39" i="1"/>
  <c r="O39" i="1"/>
  <c r="P39" i="1"/>
  <c r="R39" i="1"/>
  <c r="S39" i="1"/>
  <c r="T39" i="1"/>
  <c r="V39" i="1"/>
  <c r="W39" i="1"/>
  <c r="X39" i="1"/>
  <c r="Z39" i="1"/>
  <c r="AA39" i="1"/>
  <c r="AB39" i="1"/>
  <c r="AD39" i="1"/>
  <c r="AF39" i="1"/>
  <c r="AH39" i="1"/>
  <c r="AI39" i="1"/>
  <c r="AJ39" i="1"/>
  <c r="AL39" i="1"/>
  <c r="AM39" i="1"/>
  <c r="AN39" i="1"/>
  <c r="AP39" i="1"/>
  <c r="AQ39" i="1"/>
  <c r="AR39" i="1"/>
  <c r="AT39" i="1"/>
  <c r="AU39" i="1"/>
  <c r="AV39" i="1"/>
  <c r="AX39" i="1"/>
  <c r="AY39" i="1"/>
  <c r="AZ39" i="1"/>
  <c r="M39" i="1"/>
  <c r="BA5" i="10"/>
  <c r="BA6" i="10"/>
  <c r="BA7" i="10"/>
  <c r="BA8" i="10"/>
  <c r="BA9" i="10"/>
  <c r="BA10" i="10"/>
  <c r="BA11" i="10"/>
  <c r="BA12" i="10"/>
  <c r="BA13" i="10"/>
  <c r="BA14" i="10"/>
  <c r="BA15" i="10"/>
  <c r="BA16" i="10"/>
  <c r="BA17" i="10"/>
  <c r="BA18" i="10"/>
  <c r="BA19" i="10"/>
  <c r="BA20" i="10"/>
  <c r="BA21" i="10"/>
  <c r="BA22" i="10"/>
  <c r="BA23" i="10"/>
  <c r="BA24" i="10"/>
  <c r="BA25" i="10"/>
  <c r="BA26" i="10"/>
  <c r="BA27" i="10"/>
  <c r="BA28" i="10"/>
  <c r="BA29" i="10"/>
  <c r="BA30" i="10"/>
  <c r="BA31" i="10"/>
  <c r="BA32" i="10"/>
  <c r="BA33" i="10"/>
  <c r="BA4" i="10"/>
  <c r="BA33" i="9"/>
  <c r="BA5" i="9"/>
  <c r="BA6" i="9"/>
  <c r="BA7" i="9"/>
  <c r="BA8" i="9"/>
  <c r="BA9" i="9"/>
  <c r="BA10" i="9"/>
  <c r="BA11" i="9"/>
  <c r="BA12" i="9"/>
  <c r="BA13" i="9"/>
  <c r="BA14" i="9"/>
  <c r="BA15" i="9"/>
  <c r="BA16" i="9"/>
  <c r="BA17" i="9"/>
  <c r="BA18" i="9"/>
  <c r="BA19" i="9"/>
  <c r="BA20" i="9"/>
  <c r="BA21" i="9"/>
  <c r="BA22" i="9"/>
  <c r="BA23" i="9"/>
  <c r="BA24" i="9"/>
  <c r="BA25" i="9"/>
  <c r="BA26" i="9"/>
  <c r="BA27" i="9"/>
  <c r="BA28" i="9"/>
  <c r="BA29" i="9"/>
  <c r="BA30" i="9"/>
  <c r="BA31" i="9"/>
  <c r="BA32" i="9"/>
  <c r="BA4" i="9"/>
  <c r="BA5" i="8"/>
  <c r="BA6" i="8"/>
  <c r="BA7" i="8"/>
  <c r="BA8" i="8"/>
  <c r="BA9" i="8"/>
  <c r="BA10" i="8"/>
  <c r="BA11" i="8"/>
  <c r="BA12" i="8"/>
  <c r="BA13" i="8"/>
  <c r="BA14" i="8"/>
  <c r="BA15" i="8"/>
  <c r="BA16" i="8"/>
  <c r="BA17" i="8"/>
  <c r="BA18" i="8"/>
  <c r="BA19" i="8"/>
  <c r="BA20" i="8"/>
  <c r="BA21" i="8"/>
  <c r="BA22" i="8"/>
  <c r="BA23" i="8"/>
  <c r="BA24" i="8"/>
  <c r="BA25" i="8"/>
  <c r="BA26" i="8"/>
  <c r="BA27" i="8"/>
  <c r="BA28" i="8"/>
  <c r="BA29" i="8"/>
  <c r="BA30" i="8"/>
  <c r="BA31" i="8"/>
  <c r="BA32" i="8"/>
  <c r="BA33" i="8"/>
  <c r="BA4" i="8"/>
  <c r="BA5" i="7"/>
  <c r="BA6" i="7"/>
  <c r="BA7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4" i="7"/>
  <c r="BA39" i="3"/>
  <c r="AZ38" i="2"/>
  <c r="BA38" i="1"/>
  <c r="E26" i="1" l="1"/>
  <c r="E27" i="1"/>
  <c r="E32" i="1"/>
  <c r="E19" i="1"/>
  <c r="AZ19" i="1" l="1"/>
  <c r="AZ37" i="1"/>
  <c r="AW32" i="6"/>
  <c r="AV32" i="6"/>
  <c r="AU32" i="6"/>
  <c r="AS32" i="6"/>
  <c r="AS33" i="6" s="1"/>
  <c r="AR32" i="6"/>
  <c r="AR33" i="6" s="1"/>
  <c r="AQ32" i="6"/>
  <c r="AQ33" i="6" s="1"/>
  <c r="AO32" i="6"/>
  <c r="AN32" i="6"/>
  <c r="AN33" i="6" s="1"/>
  <c r="AM32" i="6"/>
  <c r="AK32" i="6"/>
  <c r="AJ32" i="6"/>
  <c r="AI32" i="6"/>
  <c r="AG32" i="6"/>
  <c r="AF32" i="6"/>
  <c r="AF33" i="6" s="1"/>
  <c r="AE32" i="6"/>
  <c r="AE33" i="6" s="1"/>
  <c r="AC32" i="6"/>
  <c r="AB32" i="6"/>
  <c r="AA32" i="6"/>
  <c r="Y32" i="6"/>
  <c r="X32" i="6"/>
  <c r="X33" i="6" s="1"/>
  <c r="W32" i="6"/>
  <c r="W33" i="6" s="1"/>
  <c r="U32" i="6"/>
  <c r="T32" i="6"/>
  <c r="T33" i="6" s="1"/>
  <c r="S32" i="6"/>
  <c r="S33" i="6" s="1"/>
  <c r="Q32" i="6"/>
  <c r="P32" i="6"/>
  <c r="O32" i="6"/>
  <c r="M32" i="6"/>
  <c r="L32" i="6"/>
  <c r="K32" i="6"/>
  <c r="I32" i="6"/>
  <c r="H32" i="6"/>
  <c r="H33" i="6" s="1"/>
  <c r="G32" i="6"/>
  <c r="G33" i="6" s="1"/>
  <c r="E32" i="6"/>
  <c r="D32" i="6"/>
  <c r="C32" i="6"/>
  <c r="C33" i="6" s="1"/>
  <c r="AY31" i="6"/>
  <c r="AX31" i="6"/>
  <c r="AO31" i="6"/>
  <c r="AK31" i="6"/>
  <c r="AG31" i="6"/>
  <c r="U31" i="6"/>
  <c r="Q31" i="6"/>
  <c r="M31" i="6"/>
  <c r="E31" i="6"/>
  <c r="AY30" i="6"/>
  <c r="AW30" i="6"/>
  <c r="AU30" i="6"/>
  <c r="AX30" i="6" s="1"/>
  <c r="U30" i="6"/>
  <c r="Q30" i="6"/>
  <c r="I30" i="6"/>
  <c r="AY29" i="6"/>
  <c r="AX29" i="6"/>
  <c r="AK29" i="6"/>
  <c r="U29" i="6"/>
  <c r="AZ28" i="6"/>
  <c r="AY28" i="6"/>
  <c r="AX28" i="6"/>
  <c r="AZ27" i="6"/>
  <c r="AY27" i="6"/>
  <c r="AX27" i="6"/>
  <c r="AW26" i="6"/>
  <c r="AV26" i="6"/>
  <c r="AY26" i="6" s="1"/>
  <c r="AU26" i="6"/>
  <c r="AX26" i="6" s="1"/>
  <c r="AK26" i="6"/>
  <c r="Y26" i="6"/>
  <c r="Q26" i="6"/>
  <c r="I26" i="6"/>
  <c r="E26" i="6"/>
  <c r="AZ25" i="6"/>
  <c r="AY25" i="6"/>
  <c r="AX25" i="6"/>
  <c r="AZ24" i="6"/>
  <c r="AJ24" i="6"/>
  <c r="AI24" i="6"/>
  <c r="P24" i="6"/>
  <c r="O24" i="6"/>
  <c r="AZ23" i="6"/>
  <c r="AY23" i="6"/>
  <c r="AX23" i="6"/>
  <c r="AY22" i="6"/>
  <c r="AX22" i="6"/>
  <c r="AK22" i="6"/>
  <c r="U22" i="6"/>
  <c r="Q22" i="6"/>
  <c r="AY21" i="6"/>
  <c r="AW21" i="6"/>
  <c r="AU21" i="6"/>
  <c r="AX21" i="6" s="1"/>
  <c r="AK21" i="6"/>
  <c r="AG21" i="6"/>
  <c r="Q21" i="6"/>
  <c r="E21" i="6"/>
  <c r="AZ20" i="6"/>
  <c r="AY20" i="6"/>
  <c r="AX20" i="6"/>
  <c r="AY19" i="6"/>
  <c r="AX19" i="6"/>
  <c r="AW19" i="6"/>
  <c r="AG19" i="6"/>
  <c r="Q19" i="6"/>
  <c r="I19" i="6"/>
  <c r="E19" i="6"/>
  <c r="AW18" i="6"/>
  <c r="AZ18" i="6" s="1"/>
  <c r="AV18" i="6"/>
  <c r="AY18" i="6" s="1"/>
  <c r="AU18" i="6"/>
  <c r="AX18" i="6" s="1"/>
  <c r="AZ17" i="6"/>
  <c r="AV17" i="6"/>
  <c r="AY17" i="6" s="1"/>
  <c r="AU17" i="6"/>
  <c r="AM17" i="6"/>
  <c r="AW16" i="6"/>
  <c r="AV16" i="6"/>
  <c r="AY16" i="6" s="1"/>
  <c r="AU16" i="6"/>
  <c r="AX16" i="6" s="1"/>
  <c r="AO16" i="6"/>
  <c r="AK16" i="6"/>
  <c r="AC16" i="6"/>
  <c r="U16" i="6"/>
  <c r="Q16" i="6"/>
  <c r="M16" i="6"/>
  <c r="AY15" i="6"/>
  <c r="AX15" i="6"/>
  <c r="AW15" i="6"/>
  <c r="AG15" i="6"/>
  <c r="I15" i="6"/>
  <c r="E15" i="6"/>
  <c r="AZ14" i="6"/>
  <c r="AV14" i="6"/>
  <c r="AY14" i="6" s="1"/>
  <c r="AU14" i="6"/>
  <c r="AX14" i="6" s="1"/>
  <c r="AZ13" i="6"/>
  <c r="AY13" i="6"/>
  <c r="AX13" i="6"/>
  <c r="AZ12" i="6"/>
  <c r="AY12" i="6"/>
  <c r="AX12" i="6"/>
  <c r="AY11" i="6"/>
  <c r="AW11" i="6"/>
  <c r="AK11" i="6"/>
  <c r="U11" i="6"/>
  <c r="Q11" i="6"/>
  <c r="M11" i="6"/>
  <c r="K11" i="6"/>
  <c r="AX11" i="6" s="1"/>
  <c r="I11" i="6"/>
  <c r="AY10" i="6"/>
  <c r="AW10" i="6"/>
  <c r="AU10" i="6"/>
  <c r="AO10" i="6"/>
  <c r="AK10" i="6"/>
  <c r="AI10" i="6"/>
  <c r="Q10" i="6"/>
  <c r="M10" i="6"/>
  <c r="AZ9" i="6"/>
  <c r="AV9" i="6"/>
  <c r="AY9" i="6" s="1"/>
  <c r="AU9" i="6"/>
  <c r="AW8" i="6"/>
  <c r="AK8" i="6"/>
  <c r="AI8" i="6"/>
  <c r="AB8" i="6"/>
  <c r="AY8" i="6" s="1"/>
  <c r="AA8" i="6"/>
  <c r="U8" i="6"/>
  <c r="AZ7" i="6"/>
  <c r="AY7" i="6"/>
  <c r="AX7" i="6"/>
  <c r="AY6" i="6"/>
  <c r="AX6" i="6"/>
  <c r="AW6" i="6"/>
  <c r="AO6" i="6"/>
  <c r="AK6" i="6"/>
  <c r="AG6" i="6"/>
  <c r="AC6" i="6"/>
  <c r="Y6" i="6"/>
  <c r="U6" i="6"/>
  <c r="Q6" i="6"/>
  <c r="M6" i="6"/>
  <c r="I6" i="6"/>
  <c r="E6" i="6"/>
  <c r="AZ5" i="6"/>
  <c r="AY5" i="6"/>
  <c r="AX5" i="6"/>
  <c r="AZ4" i="6"/>
  <c r="AY4" i="6"/>
  <c r="AX4" i="6"/>
  <c r="AR33" i="5"/>
  <c r="AQ33" i="5"/>
  <c r="AN33" i="5"/>
  <c r="AM33" i="5"/>
  <c r="AJ33" i="5"/>
  <c r="AI33" i="5"/>
  <c r="AG33" i="5"/>
  <c r="AF33" i="5"/>
  <c r="AE33" i="5"/>
  <c r="AC33" i="5"/>
  <c r="AB33" i="5"/>
  <c r="AA33" i="5"/>
  <c r="X33" i="5"/>
  <c r="W33" i="5"/>
  <c r="T33" i="5"/>
  <c r="S33" i="5"/>
  <c r="P33" i="5"/>
  <c r="O33" i="5"/>
  <c r="L33" i="5"/>
  <c r="K33" i="5"/>
  <c r="H33" i="5"/>
  <c r="G33" i="5"/>
  <c r="D33" i="5"/>
  <c r="C33" i="5"/>
  <c r="AZ32" i="5"/>
  <c r="AY32" i="5"/>
  <c r="AX32" i="5"/>
  <c r="AY31" i="5"/>
  <c r="AX31" i="5"/>
  <c r="AO31" i="5"/>
  <c r="AK31" i="5"/>
  <c r="U31" i="5"/>
  <c r="M31" i="5"/>
  <c r="AY30" i="5"/>
  <c r="AW30" i="5"/>
  <c r="AU30" i="5"/>
  <c r="AX30" i="5" s="1"/>
  <c r="Q30" i="5"/>
  <c r="I30" i="5"/>
  <c r="AZ29" i="5"/>
  <c r="AY29" i="5"/>
  <c r="AX29" i="5"/>
  <c r="AZ28" i="5"/>
  <c r="AY28" i="5"/>
  <c r="AX28" i="5"/>
  <c r="AY27" i="5"/>
  <c r="AX27" i="5"/>
  <c r="U27" i="5"/>
  <c r="Q27" i="5"/>
  <c r="M27" i="5"/>
  <c r="I27" i="5"/>
  <c r="AW26" i="5"/>
  <c r="AV26" i="5"/>
  <c r="AY26" i="5" s="1"/>
  <c r="AU26" i="5"/>
  <c r="AX26" i="5" s="1"/>
  <c r="AO26" i="5"/>
  <c r="AK26" i="5"/>
  <c r="Q26" i="5"/>
  <c r="M26" i="5"/>
  <c r="I26" i="5"/>
  <c r="E26" i="5"/>
  <c r="AZ25" i="5"/>
  <c r="AY25" i="5"/>
  <c r="AX25" i="5"/>
  <c r="AZ24" i="5"/>
  <c r="AY24" i="5"/>
  <c r="AX24" i="5"/>
  <c r="AZ23" i="5"/>
  <c r="AY23" i="5"/>
  <c r="AX23" i="5"/>
  <c r="AY22" i="5"/>
  <c r="AX22" i="5"/>
  <c r="AW22" i="5"/>
  <c r="AZ22" i="5" s="1"/>
  <c r="AV21" i="5"/>
  <c r="AY21" i="5" s="1"/>
  <c r="AU21" i="5"/>
  <c r="AX21" i="5" s="1"/>
  <c r="E21" i="5"/>
  <c r="AZ21" i="5" s="1"/>
  <c r="AZ20" i="5"/>
  <c r="AY20" i="5"/>
  <c r="AX20" i="5"/>
  <c r="AZ19" i="5"/>
  <c r="AY19" i="5"/>
  <c r="AX19" i="5"/>
  <c r="AY18" i="5"/>
  <c r="AX18" i="5"/>
  <c r="AO18" i="5"/>
  <c r="AK18" i="5"/>
  <c r="U18" i="5"/>
  <c r="Q18" i="5"/>
  <c r="AW17" i="5"/>
  <c r="AV17" i="5"/>
  <c r="AY17" i="5" s="1"/>
  <c r="AU17" i="5"/>
  <c r="AX17" i="5" s="1"/>
  <c r="AO17" i="5"/>
  <c r="AK17" i="5"/>
  <c r="AZ16" i="5"/>
  <c r="AY16" i="5"/>
  <c r="AX16" i="5"/>
  <c r="AY15" i="5"/>
  <c r="AW15" i="5"/>
  <c r="AZ15" i="5" s="1"/>
  <c r="AU15" i="5"/>
  <c r="AX15" i="5" s="1"/>
  <c r="AY14" i="5"/>
  <c r="AX14" i="5"/>
  <c r="AW14" i="5"/>
  <c r="AO14" i="5"/>
  <c r="AK14" i="5"/>
  <c r="Q14" i="5"/>
  <c r="I14" i="5"/>
  <c r="E14" i="5"/>
  <c r="AZ13" i="5"/>
  <c r="AY13" i="5"/>
  <c r="AX13" i="5"/>
  <c r="AW12" i="5"/>
  <c r="AV12" i="5"/>
  <c r="AY12" i="5" s="1"/>
  <c r="AU12" i="5"/>
  <c r="AX12" i="5" s="1"/>
  <c r="AS12" i="5"/>
  <c r="AS33" i="5" s="1"/>
  <c r="AO12" i="5"/>
  <c r="Y12" i="5"/>
  <c r="Y33" i="5" s="1"/>
  <c r="Z34" i="5" s="1"/>
  <c r="M12" i="5"/>
  <c r="I12" i="5"/>
  <c r="AY11" i="5"/>
  <c r="AX11" i="5"/>
  <c r="AW11" i="5"/>
  <c r="AK11" i="5"/>
  <c r="U11" i="5"/>
  <c r="Q11" i="5"/>
  <c r="M11" i="5"/>
  <c r="I11" i="5"/>
  <c r="AY10" i="5"/>
  <c r="AX10" i="5"/>
  <c r="AW10" i="5"/>
  <c r="AO10" i="5"/>
  <c r="AK10" i="5"/>
  <c r="U10" i="5"/>
  <c r="M10" i="5"/>
  <c r="AZ9" i="5"/>
  <c r="AV9" i="5"/>
  <c r="AY9" i="5" s="1"/>
  <c r="AU9" i="5"/>
  <c r="AX9" i="5" s="1"/>
  <c r="AY8" i="5"/>
  <c r="AX8" i="5"/>
  <c r="U8" i="5"/>
  <c r="AZ7" i="5"/>
  <c r="AY7" i="5"/>
  <c r="AU7" i="5"/>
  <c r="AX7" i="5" s="1"/>
  <c r="AZ6" i="5"/>
  <c r="AY6" i="5"/>
  <c r="AX6" i="5"/>
  <c r="AV5" i="5"/>
  <c r="AU5" i="5"/>
  <c r="AK5" i="5"/>
  <c r="Q5" i="5"/>
  <c r="E5" i="5"/>
  <c r="AZ4" i="5"/>
  <c r="AY4" i="5"/>
  <c r="AX4" i="5"/>
  <c r="AY24" i="6" l="1"/>
  <c r="AB33" i="6"/>
  <c r="AZ30" i="6"/>
  <c r="BA30" i="6" s="1"/>
  <c r="AJ33" i="6"/>
  <c r="AM33" i="6"/>
  <c r="AZ22" i="6"/>
  <c r="BA22" i="6" s="1"/>
  <c r="AX8" i="6"/>
  <c r="AX10" i="6"/>
  <c r="AX17" i="6"/>
  <c r="BA17" i="6" s="1"/>
  <c r="AZ26" i="6"/>
  <c r="BA26" i="6" s="1"/>
  <c r="AK33" i="6"/>
  <c r="AZ31" i="6"/>
  <c r="BA31" i="6" s="1"/>
  <c r="Y33" i="6"/>
  <c r="E33" i="6"/>
  <c r="AO33" i="6"/>
  <c r="AZ32" i="6"/>
  <c r="BA12" i="6"/>
  <c r="BA25" i="6"/>
  <c r="BA27" i="6"/>
  <c r="Q33" i="6"/>
  <c r="BA7" i="6"/>
  <c r="AC33" i="6"/>
  <c r="BA18" i="6"/>
  <c r="BA4" i="6"/>
  <c r="AW33" i="6"/>
  <c r="AU33" i="6"/>
  <c r="AZ16" i="6"/>
  <c r="BA16" i="6" s="1"/>
  <c r="U33" i="6"/>
  <c r="AZ11" i="6"/>
  <c r="BA11" i="6" s="1"/>
  <c r="AZ21" i="6"/>
  <c r="BA21" i="6" s="1"/>
  <c r="BA28" i="6"/>
  <c r="BA5" i="6"/>
  <c r="BA13" i="6"/>
  <c r="AY32" i="6"/>
  <c r="BA14" i="6"/>
  <c r="AZ19" i="6"/>
  <c r="BA19" i="6" s="1"/>
  <c r="BA23" i="6"/>
  <c r="AZ29" i="6"/>
  <c r="BA29" i="6" s="1"/>
  <c r="AZ8" i="6"/>
  <c r="BA20" i="6"/>
  <c r="AZ10" i="6"/>
  <c r="AZ15" i="6"/>
  <c r="BA15" i="6" s="1"/>
  <c r="AX24" i="6"/>
  <c r="O33" i="6"/>
  <c r="AA33" i="6"/>
  <c r="AG33" i="6"/>
  <c r="AI33" i="6"/>
  <c r="AH34" i="5"/>
  <c r="AT34" i="5"/>
  <c r="AD34" i="5"/>
  <c r="AZ14" i="5"/>
  <c r="BA14" i="5" s="1"/>
  <c r="AZ18" i="5"/>
  <c r="BA18" i="5" s="1"/>
  <c r="AZ27" i="5"/>
  <c r="BA27" i="5" s="1"/>
  <c r="AZ30" i="5"/>
  <c r="BA30" i="5" s="1"/>
  <c r="AZ26" i="5"/>
  <c r="BA26" i="5" s="1"/>
  <c r="BA22" i="5"/>
  <c r="BA23" i="5"/>
  <c r="U33" i="5"/>
  <c r="V34" i="5" s="1"/>
  <c r="BA6" i="5"/>
  <c r="AZ12" i="5"/>
  <c r="BA12" i="5" s="1"/>
  <c r="BA7" i="5"/>
  <c r="I33" i="5"/>
  <c r="J34" i="5" s="1"/>
  <c r="BA25" i="5"/>
  <c r="BA16" i="5"/>
  <c r="AO33" i="5"/>
  <c r="BA15" i="5"/>
  <c r="BA24" i="5"/>
  <c r="BA28" i="5"/>
  <c r="AW33" i="5"/>
  <c r="M33" i="5"/>
  <c r="N34" i="5" s="1"/>
  <c r="BA13" i="5"/>
  <c r="BA29" i="5"/>
  <c r="BA32" i="5"/>
  <c r="AK33" i="5"/>
  <c r="AL34" i="5" s="1"/>
  <c r="AZ17" i="5"/>
  <c r="BA17" i="5" s="1"/>
  <c r="AU33" i="5"/>
  <c r="BA19" i="5"/>
  <c r="E33" i="5"/>
  <c r="F34" i="5" s="1"/>
  <c r="Q33" i="5"/>
  <c r="R34" i="5" s="1"/>
  <c r="AV33" i="5"/>
  <c r="BA9" i="5"/>
  <c r="BA4" i="5"/>
  <c r="BA21" i="5"/>
  <c r="AZ11" i="5"/>
  <c r="BA11" i="5" s="1"/>
  <c r="AZ10" i="5"/>
  <c r="BA10" i="5" s="1"/>
  <c r="BA20" i="5"/>
  <c r="AZ31" i="5"/>
  <c r="BA31" i="5" s="1"/>
  <c r="I33" i="6"/>
  <c r="AX32" i="6"/>
  <c r="P33" i="6"/>
  <c r="AV33" i="6"/>
  <c r="D33" i="6"/>
  <c r="AZ6" i="6"/>
  <c r="AX9" i="6"/>
  <c r="BA9" i="6" s="1"/>
  <c r="AX5" i="5"/>
  <c r="AX33" i="5" s="1"/>
  <c r="AY5" i="5"/>
  <c r="AY33" i="5" s="1"/>
  <c r="AZ8" i="5"/>
  <c r="BA8" i="5" s="1"/>
  <c r="AZ5" i="5"/>
  <c r="AY33" i="6" l="1"/>
  <c r="BA24" i="6"/>
  <c r="BA8" i="6"/>
  <c r="BA10" i="6"/>
  <c r="AZ33" i="6"/>
  <c r="BA6" i="6"/>
  <c r="BA32" i="6"/>
  <c r="AX33" i="6"/>
  <c r="AZ33" i="5"/>
  <c r="BA5" i="5"/>
  <c r="AU38" i="4"/>
  <c r="AR38" i="4"/>
  <c r="AQ38" i="4"/>
  <c r="AP38" i="4"/>
  <c r="AM38" i="4"/>
  <c r="AL38" i="4"/>
  <c r="AI38" i="4"/>
  <c r="AH38" i="4"/>
  <c r="AE38" i="4"/>
  <c r="AD38" i="4"/>
  <c r="AA38" i="4"/>
  <c r="Z38" i="4"/>
  <c r="W38" i="4"/>
  <c r="V38" i="4"/>
  <c r="S38" i="4"/>
  <c r="R38" i="4"/>
  <c r="O38" i="4"/>
  <c r="N38" i="4"/>
  <c r="K38" i="4"/>
  <c r="J38" i="4"/>
  <c r="G38" i="4"/>
  <c r="F38" i="4"/>
  <c r="C38" i="4"/>
  <c r="B38" i="4"/>
  <c r="AY37" i="4"/>
  <c r="AX37" i="4"/>
  <c r="AV37" i="4"/>
  <c r="AZ37" i="4" s="1"/>
  <c r="AY36" i="4"/>
  <c r="AX36" i="4"/>
  <c r="AV36" i="4"/>
  <c r="T36" i="4"/>
  <c r="P36" i="4"/>
  <c r="H36" i="4"/>
  <c r="AY35" i="4"/>
  <c r="AX35" i="4"/>
  <c r="AJ35" i="4"/>
  <c r="T35" i="4"/>
  <c r="AZ34" i="4"/>
  <c r="AY34" i="4"/>
  <c r="AX34" i="4"/>
  <c r="AY33" i="4"/>
  <c r="AX33" i="4"/>
  <c r="P33" i="4"/>
  <c r="AZ33" i="4" s="1"/>
  <c r="AY32" i="4"/>
  <c r="AX32" i="4"/>
  <c r="AV32" i="4"/>
  <c r="AZ32" i="4" s="1"/>
  <c r="AY31" i="4"/>
  <c r="AX31" i="4"/>
  <c r="AV31" i="4"/>
  <c r="AJ31" i="4"/>
  <c r="AF31" i="4"/>
  <c r="T31" i="4"/>
  <c r="P31" i="4"/>
  <c r="H31" i="4"/>
  <c r="D31" i="4"/>
  <c r="AZ30" i="4"/>
  <c r="AY30" i="4"/>
  <c r="AX30" i="4"/>
  <c r="AZ29" i="4"/>
  <c r="AY29" i="4"/>
  <c r="AX29" i="4"/>
  <c r="AZ28" i="4"/>
  <c r="AY28" i="4"/>
  <c r="AX28" i="4"/>
  <c r="AY27" i="4"/>
  <c r="AX27" i="4"/>
  <c r="AJ27" i="4"/>
  <c r="T27" i="4"/>
  <c r="P27" i="4"/>
  <c r="AZ26" i="4"/>
  <c r="AY26" i="4"/>
  <c r="AX26" i="4"/>
  <c r="AX25" i="4"/>
  <c r="AJ25" i="4"/>
  <c r="AF25" i="4"/>
  <c r="T25" i="4"/>
  <c r="P25" i="4"/>
  <c r="H25" i="4"/>
  <c r="D25" i="4"/>
  <c r="AY24" i="4"/>
  <c r="AX24" i="4"/>
  <c r="AF24" i="4"/>
  <c r="P24" i="4"/>
  <c r="L24" i="4"/>
  <c r="H24" i="4"/>
  <c r="D24" i="4"/>
  <c r="AZ23" i="4"/>
  <c r="AY23" i="4"/>
  <c r="AX23" i="4"/>
  <c r="AZ22" i="4"/>
  <c r="AY22" i="4"/>
  <c r="AX22" i="4"/>
  <c r="AZ21" i="4"/>
  <c r="AY21" i="4"/>
  <c r="AX21" i="4"/>
  <c r="AZ20" i="4"/>
  <c r="AY20" i="4"/>
  <c r="AX20" i="4"/>
  <c r="AY19" i="4"/>
  <c r="AV19" i="4"/>
  <c r="AZ19" i="4" s="1"/>
  <c r="AT19" i="4"/>
  <c r="AT38" i="4" s="1"/>
  <c r="AY18" i="4"/>
  <c r="AX18" i="4"/>
  <c r="AN18" i="4"/>
  <c r="AJ18" i="4"/>
  <c r="T18" i="4"/>
  <c r="P18" i="4"/>
  <c r="H18" i="4"/>
  <c r="D18" i="4"/>
  <c r="AY17" i="4"/>
  <c r="AX17" i="4"/>
  <c r="AV17" i="4"/>
  <c r="AZ17" i="4" s="1"/>
  <c r="AZ16" i="4"/>
  <c r="AY16" i="4"/>
  <c r="AX16" i="4"/>
  <c r="AY15" i="4"/>
  <c r="AX15" i="4"/>
  <c r="AV15" i="4"/>
  <c r="T15" i="4"/>
  <c r="P15" i="4"/>
  <c r="L15" i="4"/>
  <c r="H15" i="4"/>
  <c r="AY14" i="4"/>
  <c r="AX14" i="4"/>
  <c r="AV14" i="4"/>
  <c r="AJ14" i="4"/>
  <c r="T14" i="4"/>
  <c r="P14" i="4"/>
  <c r="L14" i="4"/>
  <c r="AZ13" i="4"/>
  <c r="AY13" i="4"/>
  <c r="AX13" i="4"/>
  <c r="AY12" i="4"/>
  <c r="AX12" i="4"/>
  <c r="P12" i="4"/>
  <c r="D12" i="4"/>
  <c r="AZ11" i="4"/>
  <c r="AY11" i="4"/>
  <c r="AX11" i="4"/>
  <c r="AZ10" i="4"/>
  <c r="AY10" i="4"/>
  <c r="AX10" i="4"/>
  <c r="AZ9" i="4"/>
  <c r="AY9" i="4"/>
  <c r="AX9" i="4"/>
  <c r="AZ8" i="4"/>
  <c r="AY8" i="4"/>
  <c r="AX8" i="4"/>
  <c r="AY7" i="4"/>
  <c r="AX7" i="4"/>
  <c r="AJ7" i="4"/>
  <c r="T7" i="4"/>
  <c r="AY6" i="4"/>
  <c r="AX6" i="4"/>
  <c r="AV6" i="4"/>
  <c r="AN6" i="4"/>
  <c r="AJ6" i="4"/>
  <c r="AF6" i="4"/>
  <c r="AB6" i="4"/>
  <c r="AB38" i="4" s="1"/>
  <c r="X6" i="4"/>
  <c r="X38" i="4" s="1"/>
  <c r="T6" i="4"/>
  <c r="P6" i="4"/>
  <c r="L6" i="4"/>
  <c r="H6" i="4"/>
  <c r="D6" i="4"/>
  <c r="AY5" i="4"/>
  <c r="AX5" i="4"/>
  <c r="AJ5" i="4"/>
  <c r="P5" i="4"/>
  <c r="D5" i="4"/>
  <c r="AY4" i="4"/>
  <c r="AX4" i="4"/>
  <c r="AJ4" i="4"/>
  <c r="AZ3" i="4"/>
  <c r="AY3" i="4"/>
  <c r="AX3" i="4"/>
  <c r="BA33" i="6" l="1"/>
  <c r="BA33" i="5"/>
  <c r="AZ27" i="4"/>
  <c r="BA27" i="4" s="1"/>
  <c r="BA37" i="4"/>
  <c r="H38" i="4"/>
  <c r="AY25" i="4"/>
  <c r="AY38" i="4" s="1"/>
  <c r="AZ12" i="4"/>
  <c r="BA12" i="4" s="1"/>
  <c r="BA17" i="4"/>
  <c r="AZ36" i="4"/>
  <c r="BA36" i="4" s="1"/>
  <c r="AZ15" i="4"/>
  <c r="BA15" i="4" s="1"/>
  <c r="AN38" i="4"/>
  <c r="AZ35" i="4"/>
  <c r="BA35" i="4" s="1"/>
  <c r="AF38" i="4"/>
  <c r="BA3" i="4"/>
  <c r="BA22" i="4"/>
  <c r="BA30" i="4"/>
  <c r="AJ38" i="4"/>
  <c r="T38" i="4"/>
  <c r="BA11" i="4"/>
  <c r="AZ14" i="4"/>
  <c r="BA14" i="4" s="1"/>
  <c r="BA16" i="4"/>
  <c r="AZ25" i="4"/>
  <c r="BA8" i="4"/>
  <c r="BA33" i="4"/>
  <c r="L38" i="4"/>
  <c r="AZ31" i="4"/>
  <c r="BA31" i="4" s="1"/>
  <c r="BA20" i="4"/>
  <c r="AZ6" i="4"/>
  <c r="BA6" i="4" s="1"/>
  <c r="BA21" i="4"/>
  <c r="BA29" i="4"/>
  <c r="BA23" i="4"/>
  <c r="D38" i="4"/>
  <c r="P38" i="4"/>
  <c r="BA28" i="4"/>
  <c r="AV38" i="4"/>
  <c r="BA9" i="4"/>
  <c r="AZ24" i="4"/>
  <c r="BA24" i="4" s="1"/>
  <c r="BA34" i="4"/>
  <c r="BA13" i="4"/>
  <c r="AZ7" i="4"/>
  <c r="BA7" i="4" s="1"/>
  <c r="BA10" i="4"/>
  <c r="AZ18" i="4"/>
  <c r="BA18" i="4" s="1"/>
  <c r="BA26" i="4"/>
  <c r="BA32" i="4"/>
  <c r="AZ5" i="4"/>
  <c r="BA5" i="4" s="1"/>
  <c r="AX19" i="4"/>
  <c r="AX38" i="4" s="1"/>
  <c r="AZ4" i="4"/>
  <c r="BA4" i="4" s="1"/>
  <c r="BA25" i="4" l="1"/>
  <c r="BA19" i="4"/>
  <c r="AZ38" i="4"/>
  <c r="BA38" i="4" s="1"/>
  <c r="AR40" i="3"/>
  <c r="AQ40" i="3"/>
  <c r="AP40" i="3"/>
  <c r="AN40" i="3"/>
  <c r="AM40" i="3"/>
  <c r="AJ40" i="3"/>
  <c r="AI40" i="3"/>
  <c r="AH40" i="3"/>
  <c r="AF40" i="3"/>
  <c r="AE40" i="3"/>
  <c r="AD40" i="3"/>
  <c r="AB40" i="3"/>
  <c r="X40" i="3"/>
  <c r="W40" i="3"/>
  <c r="V40" i="3"/>
  <c r="T40" i="3"/>
  <c r="S40" i="3"/>
  <c r="P40" i="3"/>
  <c r="O40" i="3"/>
  <c r="L40" i="3"/>
  <c r="K40" i="3"/>
  <c r="G40" i="3"/>
  <c r="F40" i="3"/>
  <c r="D40" i="3"/>
  <c r="C40" i="3"/>
  <c r="B40" i="3"/>
  <c r="AZ38" i="3"/>
  <c r="AY38" i="3"/>
  <c r="AX38" i="3"/>
  <c r="AU37" i="3"/>
  <c r="AY37" i="3" s="1"/>
  <c r="AT37" i="3"/>
  <c r="AX37" i="3" s="1"/>
  <c r="H37" i="3"/>
  <c r="AZ37" i="3" s="1"/>
  <c r="AZ36" i="3"/>
  <c r="AY36" i="3"/>
  <c r="AX36" i="3"/>
  <c r="AZ35" i="3"/>
  <c r="AY35" i="3"/>
  <c r="AX35" i="3"/>
  <c r="AZ34" i="3"/>
  <c r="AY34" i="3"/>
  <c r="AX34" i="3"/>
  <c r="AY33" i="3"/>
  <c r="AX33" i="3"/>
  <c r="AV33" i="3"/>
  <c r="AV40" i="3" s="1"/>
  <c r="AZ32" i="3"/>
  <c r="AY32" i="3"/>
  <c r="AT32" i="3"/>
  <c r="AX32" i="3" s="1"/>
  <c r="AZ31" i="3"/>
  <c r="AY31" i="3"/>
  <c r="AX31" i="3"/>
  <c r="AZ30" i="3"/>
  <c r="AY30" i="3"/>
  <c r="AX30" i="3"/>
  <c r="AZ29" i="3"/>
  <c r="AY29" i="3"/>
  <c r="AX29" i="3"/>
  <c r="AZ28" i="3"/>
  <c r="AY28" i="3"/>
  <c r="AX28" i="3"/>
  <c r="AZ27" i="3"/>
  <c r="AY27" i="3"/>
  <c r="AT27" i="3"/>
  <c r="AX27" i="3" s="1"/>
  <c r="AZ26" i="3"/>
  <c r="AU26" i="3"/>
  <c r="AY26" i="3" s="1"/>
  <c r="AT26" i="3"/>
  <c r="AX26" i="3" s="1"/>
  <c r="AZ25" i="3"/>
  <c r="AY25" i="3"/>
  <c r="AX25" i="3"/>
  <c r="AZ24" i="3"/>
  <c r="AY24" i="3"/>
  <c r="AX24" i="3"/>
  <c r="AZ23" i="3"/>
  <c r="AY23" i="3"/>
  <c r="AX23" i="3"/>
  <c r="AZ22" i="3"/>
  <c r="AY22" i="3"/>
  <c r="AX22" i="3"/>
  <c r="AZ21" i="3"/>
  <c r="AY21" i="3"/>
  <c r="AX21" i="3"/>
  <c r="AZ20" i="3"/>
  <c r="AY20" i="3"/>
  <c r="AX20" i="3"/>
  <c r="AZ19" i="3"/>
  <c r="AY19" i="3"/>
  <c r="AX19" i="3"/>
  <c r="AZ18" i="3"/>
  <c r="AY18" i="3"/>
  <c r="AX18" i="3"/>
  <c r="AZ17" i="3"/>
  <c r="AU17" i="3"/>
  <c r="AT17" i="3"/>
  <c r="AL17" i="3"/>
  <c r="AL40" i="3" s="1"/>
  <c r="AA17" i="3"/>
  <c r="AA40" i="3" s="1"/>
  <c r="Z17" i="3"/>
  <c r="Z40" i="3" s="1"/>
  <c r="R17" i="3"/>
  <c r="R40" i="3" s="1"/>
  <c r="N17" i="3"/>
  <c r="N40" i="3" s="1"/>
  <c r="AZ16" i="3"/>
  <c r="AY16" i="3"/>
  <c r="J16" i="3"/>
  <c r="AX16" i="3" s="1"/>
  <c r="AZ15" i="3"/>
  <c r="AY15" i="3"/>
  <c r="AT15" i="3"/>
  <c r="AX15" i="3" s="1"/>
  <c r="AZ14" i="3"/>
  <c r="AY14" i="3"/>
  <c r="AX14" i="3"/>
  <c r="AZ13" i="3"/>
  <c r="AY13" i="3"/>
  <c r="AX13" i="3"/>
  <c r="AZ12" i="3"/>
  <c r="AY12" i="3"/>
  <c r="AX12" i="3"/>
  <c r="AZ11" i="3"/>
  <c r="AY11" i="3"/>
  <c r="AX11" i="3"/>
  <c r="AZ10" i="3"/>
  <c r="AY10" i="3"/>
  <c r="AX10" i="3"/>
  <c r="AZ9" i="3"/>
  <c r="AU9" i="3"/>
  <c r="AT9" i="3"/>
  <c r="AX9" i="3" s="1"/>
  <c r="AZ8" i="3"/>
  <c r="AY8" i="3"/>
  <c r="AX8" i="3"/>
  <c r="AZ7" i="3"/>
  <c r="AY7" i="3"/>
  <c r="AX7" i="3"/>
  <c r="AZ6" i="3"/>
  <c r="AY6" i="3"/>
  <c r="AX6" i="3"/>
  <c r="AZ5" i="3"/>
  <c r="AY5" i="3"/>
  <c r="AX5" i="3"/>
  <c r="AZ4" i="3"/>
  <c r="AY4" i="3"/>
  <c r="AX4" i="3"/>
  <c r="AR39" i="2"/>
  <c r="AQ39" i="2"/>
  <c r="AP39" i="2"/>
  <c r="AJ39" i="2"/>
  <c r="AI39" i="2"/>
  <c r="AF39" i="2"/>
  <c r="AE39" i="2"/>
  <c r="AD39" i="2"/>
  <c r="AB39" i="2"/>
  <c r="X39" i="2"/>
  <c r="W39" i="2"/>
  <c r="V39" i="2"/>
  <c r="S39" i="2"/>
  <c r="P39" i="2"/>
  <c r="O39" i="2"/>
  <c r="N39" i="2"/>
  <c r="L39" i="2"/>
  <c r="K39" i="2"/>
  <c r="J39" i="2"/>
  <c r="H39" i="2"/>
  <c r="G39" i="2"/>
  <c r="F39" i="2"/>
  <c r="D39" i="2"/>
  <c r="C39" i="2"/>
  <c r="B39" i="2"/>
  <c r="AY37" i="2"/>
  <c r="AX37" i="2"/>
  <c r="AT37" i="2"/>
  <c r="AW37" i="2" s="1"/>
  <c r="AY36" i="2"/>
  <c r="AX36" i="2"/>
  <c r="AT36" i="2"/>
  <c r="AW36" i="2" s="1"/>
  <c r="AY35" i="2"/>
  <c r="AX35" i="2"/>
  <c r="AH35" i="2"/>
  <c r="AW35" i="2" s="1"/>
  <c r="AY34" i="2"/>
  <c r="AX34" i="2"/>
  <c r="AW34" i="2"/>
  <c r="AY33" i="2"/>
  <c r="AX33" i="2"/>
  <c r="AW33" i="2"/>
  <c r="AX32" i="2"/>
  <c r="AV32" i="2"/>
  <c r="AY32" i="2" s="1"/>
  <c r="AT32" i="2"/>
  <c r="AW32" i="2" s="1"/>
  <c r="AY31" i="2"/>
  <c r="AX31" i="2"/>
  <c r="AW31" i="2"/>
  <c r="AY30" i="2"/>
  <c r="AU30" i="2"/>
  <c r="AX30" i="2" s="1"/>
  <c r="AT30" i="2"/>
  <c r="AW30" i="2" s="1"/>
  <c r="AY29" i="2"/>
  <c r="AX29" i="2"/>
  <c r="AW29" i="2"/>
  <c r="AY28" i="2"/>
  <c r="AX28" i="2"/>
  <c r="AW28" i="2"/>
  <c r="AX27" i="2"/>
  <c r="AV27" i="2"/>
  <c r="AY27" i="2" s="1"/>
  <c r="AT27" i="2"/>
  <c r="AW27" i="2" s="1"/>
  <c r="AY26" i="2"/>
  <c r="AX26" i="2"/>
  <c r="AW26" i="2"/>
  <c r="AY25" i="2"/>
  <c r="AX25" i="2"/>
  <c r="AW25" i="2"/>
  <c r="AY24" i="2"/>
  <c r="AX24" i="2"/>
  <c r="AW24" i="2"/>
  <c r="AY23" i="2"/>
  <c r="AX23" i="2"/>
  <c r="AW23" i="2"/>
  <c r="AY22" i="2"/>
  <c r="AX22" i="2"/>
  <c r="AW22" i="2"/>
  <c r="AY21" i="2"/>
  <c r="AX21" i="2"/>
  <c r="AW21" i="2"/>
  <c r="AY20" i="2"/>
  <c r="AX20" i="2"/>
  <c r="AW20" i="2"/>
  <c r="AX19" i="2"/>
  <c r="AN19" i="2"/>
  <c r="AY19" i="2" s="1"/>
  <c r="AL19" i="2"/>
  <c r="AW19" i="2" s="1"/>
  <c r="AY18" i="2"/>
  <c r="AX18" i="2"/>
  <c r="AW18" i="2"/>
  <c r="AV17" i="2"/>
  <c r="AU17" i="2"/>
  <c r="AT17" i="2"/>
  <c r="AM17" i="2"/>
  <c r="AM39" i="2" s="1"/>
  <c r="AL17" i="2"/>
  <c r="AA17" i="2"/>
  <c r="AA39" i="2" s="1"/>
  <c r="Z17" i="2"/>
  <c r="Z39" i="2" s="1"/>
  <c r="T17" i="2"/>
  <c r="T39" i="2" s="1"/>
  <c r="R17" i="2"/>
  <c r="R39" i="2" s="1"/>
  <c r="AY16" i="2"/>
  <c r="AX16" i="2"/>
  <c r="AT16" i="2"/>
  <c r="AW16" i="2" s="1"/>
  <c r="AX15" i="2"/>
  <c r="AV15" i="2"/>
  <c r="AY15" i="2" s="1"/>
  <c r="AT15" i="2"/>
  <c r="AW15" i="2" s="1"/>
  <c r="AY14" i="2"/>
  <c r="AX14" i="2"/>
  <c r="AW14" i="2"/>
  <c r="AY13" i="2"/>
  <c r="AX13" i="2"/>
  <c r="AW13" i="2"/>
  <c r="AY12" i="2"/>
  <c r="AX12" i="2"/>
  <c r="AW12" i="2"/>
  <c r="AY11" i="2"/>
  <c r="AX11" i="2"/>
  <c r="AW11" i="2"/>
  <c r="AY10" i="2"/>
  <c r="AX10" i="2"/>
  <c r="AW10" i="2"/>
  <c r="AY9" i="2"/>
  <c r="AU9" i="2"/>
  <c r="AX9" i="2" s="1"/>
  <c r="AT9" i="2"/>
  <c r="AW9" i="2" s="1"/>
  <c r="AY8" i="2"/>
  <c r="AX8" i="2"/>
  <c r="AT8" i="2"/>
  <c r="AW8" i="2" s="1"/>
  <c r="AY7" i="2"/>
  <c r="AX7" i="2"/>
  <c r="AW7" i="2"/>
  <c r="AY6" i="2"/>
  <c r="AX6" i="2"/>
  <c r="AW6" i="2"/>
  <c r="AY5" i="2"/>
  <c r="AU5" i="2"/>
  <c r="AT5" i="2"/>
  <c r="AW5" i="2" s="1"/>
  <c r="AY4" i="2"/>
  <c r="AX4" i="2"/>
  <c r="AW4" i="2"/>
  <c r="J40" i="3" l="1"/>
  <c r="BA37" i="3"/>
  <c r="BA7" i="3"/>
  <c r="BA13" i="3"/>
  <c r="BA28" i="3"/>
  <c r="BA34" i="3"/>
  <c r="BA38" i="3"/>
  <c r="BA32" i="3"/>
  <c r="BA15" i="3"/>
  <c r="BA36" i="3"/>
  <c r="BA4" i="3"/>
  <c r="BA29" i="3"/>
  <c r="BA18" i="3"/>
  <c r="BA22" i="3"/>
  <c r="BA12" i="3"/>
  <c r="BA5" i="3"/>
  <c r="BA26" i="3"/>
  <c r="BA30" i="3"/>
  <c r="BA21" i="3"/>
  <c r="BA11" i="3"/>
  <c r="BA8" i="3"/>
  <c r="AU40" i="3"/>
  <c r="BA16" i="3"/>
  <c r="AZ33" i="3"/>
  <c r="BA33" i="3" s="1"/>
  <c r="AY9" i="3"/>
  <c r="BA9" i="3" s="1"/>
  <c r="BA19" i="3"/>
  <c r="BA23" i="3"/>
  <c r="BA25" i="3"/>
  <c r="BA31" i="3"/>
  <c r="BA20" i="3"/>
  <c r="BA24" i="3"/>
  <c r="BA6" i="3"/>
  <c r="BA27" i="3"/>
  <c r="BA10" i="3"/>
  <c r="BA14" i="3"/>
  <c r="BA35" i="3"/>
  <c r="AU39" i="2"/>
  <c r="AL39" i="2"/>
  <c r="AZ4" i="2"/>
  <c r="AZ8" i="2"/>
  <c r="AZ12" i="2"/>
  <c r="AZ16" i="2"/>
  <c r="AZ18" i="2"/>
  <c r="AZ22" i="2"/>
  <c r="AZ26" i="2"/>
  <c r="AZ30" i="2"/>
  <c r="AZ32" i="2"/>
  <c r="AZ6" i="2"/>
  <c r="AZ29" i="2"/>
  <c r="AZ10" i="2"/>
  <c r="AZ24" i="2"/>
  <c r="L40" i="2"/>
  <c r="AZ11" i="2"/>
  <c r="AZ21" i="2"/>
  <c r="AJ40" i="2"/>
  <c r="AZ35" i="2"/>
  <c r="AZ14" i="2"/>
  <c r="AZ20" i="2"/>
  <c r="AZ28" i="2"/>
  <c r="AZ15" i="2"/>
  <c r="AZ36" i="2"/>
  <c r="AZ7" i="2"/>
  <c r="AZ25" i="2"/>
  <c r="AZ33" i="2"/>
  <c r="AZ37" i="2"/>
  <c r="T40" i="2"/>
  <c r="AZ19" i="2"/>
  <c r="AZ27" i="2"/>
  <c r="AZ34" i="2"/>
  <c r="AZ9" i="2"/>
  <c r="AZ13" i="2"/>
  <c r="AZ23" i="2"/>
  <c r="AZ31" i="2"/>
  <c r="AT40" i="3"/>
  <c r="H40" i="3"/>
  <c r="AX17" i="3"/>
  <c r="AX40" i="3" s="1"/>
  <c r="AY17" i="3"/>
  <c r="AN39" i="2"/>
  <c r="AN40" i="2" s="1"/>
  <c r="AX5" i="2"/>
  <c r="AT39" i="2"/>
  <c r="AW17" i="2"/>
  <c r="AW39" i="2" s="1"/>
  <c r="AX17" i="2"/>
  <c r="AV39" i="2"/>
  <c r="AY17" i="2"/>
  <c r="AH39" i="2"/>
  <c r="BA17" i="3" l="1"/>
  <c r="AZ40" i="3"/>
  <c r="AY40" i="3"/>
  <c r="AY39" i="2"/>
  <c r="AZ17" i="2"/>
  <c r="AX39" i="2"/>
  <c r="AZ5" i="2"/>
  <c r="L39" i="1"/>
  <c r="K39" i="1"/>
  <c r="J39" i="1"/>
  <c r="H39" i="1"/>
  <c r="G39" i="1"/>
  <c r="F39" i="1"/>
  <c r="D39" i="1"/>
  <c r="C39" i="1"/>
  <c r="B39" i="1"/>
  <c r="AY37" i="1"/>
  <c r="AX37" i="1"/>
  <c r="AZ36" i="1"/>
  <c r="AY36" i="1"/>
  <c r="AT36" i="1"/>
  <c r="AX36" i="1" s="1"/>
  <c r="AZ35" i="1"/>
  <c r="AY35" i="1"/>
  <c r="AX35" i="1"/>
  <c r="AZ34" i="1"/>
  <c r="AY34" i="1"/>
  <c r="AX34" i="1"/>
  <c r="AZ33" i="1"/>
  <c r="AY33" i="1"/>
  <c r="AX33" i="1"/>
  <c r="AY32" i="1"/>
  <c r="AV32" i="1"/>
  <c r="AZ32" i="1" s="1"/>
  <c r="AT32" i="1"/>
  <c r="AX32" i="1" s="1"/>
  <c r="AZ31" i="1"/>
  <c r="AY31" i="1"/>
  <c r="AX31" i="1"/>
  <c r="AZ30" i="1"/>
  <c r="AY30" i="1"/>
  <c r="AT30" i="1"/>
  <c r="AX30" i="1" s="1"/>
  <c r="AZ29" i="1"/>
  <c r="AY29" i="1"/>
  <c r="AX29" i="1"/>
  <c r="AZ28" i="1"/>
  <c r="AY28" i="1"/>
  <c r="AX28" i="1"/>
  <c r="AY27" i="1"/>
  <c r="AV27" i="1"/>
  <c r="AT27" i="1"/>
  <c r="AX27" i="1" s="1"/>
  <c r="AZ26" i="1"/>
  <c r="AY26" i="1"/>
  <c r="AX26" i="1"/>
  <c r="AZ25" i="1"/>
  <c r="AY25" i="1"/>
  <c r="AX25" i="1"/>
  <c r="AZ24" i="1"/>
  <c r="AY24" i="1"/>
  <c r="AX24" i="1"/>
  <c r="AZ23" i="1"/>
  <c r="AY23" i="1"/>
  <c r="AT23" i="1"/>
  <c r="AX23" i="1" s="1"/>
  <c r="AZ22" i="1"/>
  <c r="AY22" i="1"/>
  <c r="AX22" i="1"/>
  <c r="AZ21" i="1"/>
  <c r="AY21" i="1"/>
  <c r="AX21" i="1"/>
  <c r="AZ20" i="1"/>
  <c r="AY20" i="1"/>
  <c r="AX20" i="1"/>
  <c r="AU19" i="1"/>
  <c r="AY19" i="1" s="1"/>
  <c r="AT19" i="1"/>
  <c r="AX19" i="1" s="1"/>
  <c r="AZ18" i="1"/>
  <c r="AY18" i="1"/>
  <c r="AX18" i="1"/>
  <c r="AZ17" i="1"/>
  <c r="AY17" i="1"/>
  <c r="AX17" i="1"/>
  <c r="AZ16" i="1"/>
  <c r="AY16" i="1"/>
  <c r="AT16" i="1"/>
  <c r="AX16" i="1" s="1"/>
  <c r="AZ15" i="1"/>
  <c r="AY15" i="1"/>
  <c r="AX15" i="1"/>
  <c r="AZ14" i="1"/>
  <c r="AY14" i="1"/>
  <c r="AX14" i="1"/>
  <c r="AZ13" i="1"/>
  <c r="AY13" i="1"/>
  <c r="AX13" i="1"/>
  <c r="AZ12" i="1"/>
  <c r="AY12" i="1"/>
  <c r="AX12" i="1"/>
  <c r="AZ11" i="1"/>
  <c r="AY11" i="1"/>
  <c r="AX11" i="1"/>
  <c r="AZ10" i="1"/>
  <c r="AY10" i="1"/>
  <c r="AX10" i="1"/>
  <c r="AZ9" i="1"/>
  <c r="AY9" i="1"/>
  <c r="AX9" i="1"/>
  <c r="AZ8" i="1"/>
  <c r="AY8" i="1"/>
  <c r="AT8" i="1"/>
  <c r="AX8" i="1" s="1"/>
  <c r="AZ7" i="1"/>
  <c r="AY7" i="1"/>
  <c r="AX7" i="1"/>
  <c r="AZ6" i="1"/>
  <c r="AY6" i="1"/>
  <c r="AX6" i="1"/>
  <c r="AZ5" i="1"/>
  <c r="AU5" i="1"/>
  <c r="AY5" i="1" s="1"/>
  <c r="AT5" i="1"/>
  <c r="AX5" i="1" s="1"/>
  <c r="AZ4" i="1"/>
  <c r="AY4" i="1"/>
  <c r="AX4" i="1"/>
  <c r="BA40" i="3" l="1"/>
  <c r="AZ39" i="2"/>
  <c r="AY40" i="2"/>
  <c r="BA37" i="1"/>
  <c r="BA30" i="1"/>
  <c r="BA6" i="1"/>
  <c r="BA18" i="1"/>
  <c r="BA19" i="1"/>
  <c r="BA7" i="1"/>
  <c r="BA11" i="1"/>
  <c r="BA20" i="1"/>
  <c r="BA24" i="1"/>
  <c r="BA28" i="1"/>
  <c r="BA36" i="1"/>
  <c r="BA26" i="1"/>
  <c r="BA10" i="1"/>
  <c r="BA23" i="1"/>
  <c r="BA31" i="1"/>
  <c r="BA35" i="1"/>
  <c r="BA15" i="1"/>
  <c r="BA32" i="1"/>
  <c r="BA4" i="1"/>
  <c r="BA8" i="1"/>
  <c r="BA12" i="1"/>
  <c r="BA16" i="1"/>
  <c r="BA22" i="1"/>
  <c r="BA34" i="1"/>
  <c r="BA14" i="1"/>
  <c r="BA21" i="1"/>
  <c r="BA25" i="1"/>
  <c r="BA29" i="1"/>
  <c r="BA33" i="1"/>
  <c r="BA5" i="1"/>
  <c r="BA9" i="1"/>
  <c r="BA13" i="1"/>
  <c r="BA17" i="1"/>
  <c r="AZ27" i="1"/>
  <c r="BA27" i="1" l="1"/>
  <c r="BA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" authorId="0" shapeId="0" xr:uid="{9FF5AD00-1CAE-487B-B66B-4E88732EDE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1% increase
</t>
        </r>
      </text>
    </comment>
    <comment ref="B22" authorId="0" shapeId="0" xr:uid="{C9B5BA6B-6C1A-48CE-B6BE-938B2BC584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Districtwise data</t>
        </r>
      </text>
    </comment>
  </commentList>
</comments>
</file>

<file path=xl/sharedStrings.xml><?xml version="1.0" encoding="utf-8"?>
<sst xmlns="http://schemas.openxmlformats.org/spreadsheetml/2006/main" count="1021" uniqueCount="82">
  <si>
    <t xml:space="preserve">STATES/Uts </t>
  </si>
  <si>
    <t>ANTHURIUM</t>
  </si>
  <si>
    <t>CARNATION</t>
  </si>
  <si>
    <t>CHRYSANTHEMUM</t>
  </si>
  <si>
    <t>GERBERA</t>
  </si>
  <si>
    <t>GLADIOUS</t>
  </si>
  <si>
    <t>JASMINE</t>
  </si>
  <si>
    <t>MARIGOLD</t>
  </si>
  <si>
    <t>ORCHIDS</t>
  </si>
  <si>
    <t>ROSE</t>
  </si>
  <si>
    <t>TUBE ROSE</t>
  </si>
  <si>
    <t>TULIP</t>
  </si>
  <si>
    <t>OTHERS</t>
  </si>
  <si>
    <t>TOTAL  FLOWERS</t>
  </si>
  <si>
    <t>A</t>
  </si>
  <si>
    <t>P</t>
  </si>
  <si>
    <t xml:space="preserve">LOOSE </t>
  </si>
  <si>
    <t>CUT</t>
  </si>
  <si>
    <t>LOOSE</t>
  </si>
  <si>
    <t>ANDAMAN NICOBAR</t>
  </si>
  <si>
    <t>ANDHRA PRADESH</t>
  </si>
  <si>
    <t>ARUNACHAL PRADESH</t>
  </si>
  <si>
    <t>ASSAM</t>
  </si>
  <si>
    <t>BIHAR</t>
  </si>
  <si>
    <t xml:space="preserve">CHHATISHGARH </t>
  </si>
  <si>
    <t>D &amp; N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</si>
  <si>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</si>
  <si>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</si>
  <si>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</si>
  <si>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</si>
  <si>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</si>
  <si>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</si>
  <si>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</si>
  <si>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</si>
  <si>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</si>
  <si>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</si>
  <si>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</si>
  <si>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</si>
  <si>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</si>
  <si>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</si>
  <si>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</si>
  <si>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</si>
  <si>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</si>
  <si>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</si>
  <si>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</si>
  <si>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</si>
  <si>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</si>
  <si>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</si>
  <si>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</si>
  <si>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</si>
  <si>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</si>
  <si>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</si>
  <si>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</si>
  <si>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TOTAL</t>
  </si>
  <si>
    <t>A= '000 ha</t>
  </si>
  <si>
    <t>P(Cut)= Production in (lakh Nos)</t>
  </si>
  <si>
    <t>ARUNACHAL PRADESH *</t>
  </si>
  <si>
    <t xml:space="preserve">CHHATTISGARH </t>
  </si>
  <si>
    <t>LAKSHADWEEP</t>
  </si>
  <si>
    <r>
      <rPr>
        <b/>
        <sz val="11"/>
        <rFont val="Times New Roman"/>
        <family val="1"/>
      </rPr>
      <t xml:space="preserve">Note </t>
    </r>
    <r>
      <rPr>
        <b/>
        <sz val="10"/>
        <rFont val="Times New Roman"/>
        <family val="1"/>
      </rPr>
      <t>: Area in '000 Ha</t>
    </r>
  </si>
  <si>
    <t>* Cut flowers in Lakh Nos.</t>
  </si>
  <si>
    <t>* Data recieved during 2012-13(3rd est.) repeated due to non availability of flowers breakup.</t>
  </si>
  <si>
    <t xml:space="preserve">STATES/UTs </t>
  </si>
  <si>
    <t>GLADIOLUS</t>
  </si>
  <si>
    <t xml:space="preserve">ARUNACHAL PRADESH </t>
  </si>
  <si>
    <t>TELANGANA</t>
  </si>
  <si>
    <t>Note : Area in '000 Ha</t>
  </si>
  <si>
    <t>Production in '000 MT</t>
  </si>
  <si>
    <t>Area</t>
  </si>
  <si>
    <t>Production</t>
  </si>
  <si>
    <t>Loose</t>
  </si>
  <si>
    <t>Cut</t>
  </si>
  <si>
    <t>Total</t>
  </si>
  <si>
    <t>Note: Area in '000 Ha</t>
  </si>
  <si>
    <t xml:space="preserve">Cut flowers in Lakh Numbers </t>
  </si>
  <si>
    <t>Sl. No.</t>
  </si>
  <si>
    <t>State/UT</t>
  </si>
  <si>
    <t xml:space="preserve">MARIGOLD         </t>
  </si>
  <si>
    <t xml:space="preserve">ORCHIDS             </t>
  </si>
  <si>
    <t>OTHER FLOWERS</t>
  </si>
  <si>
    <t>Area in '000 Ha</t>
  </si>
  <si>
    <t>Prod.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</si>
</sst>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4"/>
      <color indexed="8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8">
    <xf numFmtId="0" fontId="0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</cellStyleXfs>
  <cellXfs count="438">
    <xf numFmtId="0" fontId="0" fillId="0" borderId="0" xfId="0"/>
    <xf numFmtId="2" fontId="2" fillId="2" borderId="1" xfId="0" applyNumberFormat="1" applyFont="1" applyFill="1" applyBorder="1" applyAlignment="1">
      <alignment horizontal="center"/>
    </xf>
    <xf numFmtId="2" fontId="2" fillId="2" borderId="1" xfId="1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2" fontId="4" fillId="2" borderId="1" xfId="0" applyNumberFormat="1" applyFont="1" applyFill="1" applyBorder="1"/>
    <xf numFmtId="2" fontId="2" fillId="2" borderId="2" xfId="1" applyNumberFormat="1" applyFont="1" applyFill="1" applyBorder="1"/>
    <xf numFmtId="2" fontId="3" fillId="2" borderId="1" xfId="0" applyNumberFormat="1" applyFont="1" applyFill="1" applyBorder="1"/>
    <xf numFmtId="164" fontId="5" fillId="2" borderId="1" xfId="0" applyNumberFormat="1" applyFont="1" applyFill="1" applyBorder="1"/>
    <xf numFmtId="2" fontId="2" fillId="2" borderId="2" xfId="2" applyNumberFormat="1" applyFont="1" applyFill="1" applyBorder="1"/>
    <xf numFmtId="2" fontId="2" fillId="2" borderId="2" xfId="3" applyNumberFormat="1" applyFont="1" applyFill="1" applyBorder="1"/>
    <xf numFmtId="0" fontId="3" fillId="2" borderId="0" xfId="0" applyFont="1" applyFill="1"/>
    <xf numFmtId="165" fontId="3" fillId="2" borderId="1" xfId="0" applyNumberFormat="1" applyFont="1" applyFill="1" applyBorder="1"/>
    <xf numFmtId="164" fontId="3" fillId="2" borderId="1" xfId="0" applyNumberFormat="1" applyFont="1" applyFill="1" applyBorder="1"/>
    <xf numFmtId="2" fontId="2" fillId="3" borderId="1" xfId="0" applyNumberFormat="1" applyFont="1" applyFill="1" applyBorder="1" applyAlignment="1">
      <alignment horizontal="center"/>
    </xf>
    <xf numFmtId="2" fontId="2" fillId="3" borderId="1" xfId="1" applyNumberFormat="1" applyFont="1" applyFill="1" applyBorder="1" applyAlignment="1">
      <alignment horizontal="center"/>
    </xf>
    <xf numFmtId="2" fontId="2" fillId="3" borderId="5" xfId="0" applyNumberFormat="1" applyFont="1" applyFill="1" applyBorder="1" applyAlignment="1">
      <alignment horizontal="center"/>
    </xf>
    <xf numFmtId="2" fontId="4" fillId="3" borderId="1" xfId="0" applyNumberFormat="1" applyFont="1" applyFill="1" applyBorder="1"/>
    <xf numFmtId="2" fontId="2" fillId="3" borderId="2" xfId="1" applyNumberFormat="1" applyFont="1" applyFill="1" applyBorder="1"/>
    <xf numFmtId="2" fontId="3" fillId="3" borderId="1" xfId="0" applyNumberFormat="1" applyFont="1" applyFill="1" applyBorder="1"/>
    <xf numFmtId="2" fontId="5" fillId="3" borderId="1" xfId="0" applyNumberFormat="1" applyFont="1" applyFill="1" applyBorder="1"/>
    <xf numFmtId="2" fontId="2" fillId="3" borderId="2" xfId="2" applyNumberFormat="1" applyFont="1" applyFill="1" applyBorder="1"/>
    <xf numFmtId="2" fontId="2" fillId="3" borderId="2" xfId="3" applyNumberFormat="1" applyFont="1" applyFill="1" applyBorder="1"/>
    <xf numFmtId="2" fontId="3" fillId="3" borderId="0" xfId="0" applyNumberFormat="1" applyFont="1" applyFill="1"/>
    <xf numFmtId="2" fontId="5" fillId="3" borderId="0" xfId="0" applyNumberFormat="1" applyFont="1" applyFill="1"/>
    <xf numFmtId="1" fontId="5" fillId="0" borderId="0" xfId="0" applyNumberFormat="1" applyFont="1" applyAlignment="1">
      <alignment wrapText="1"/>
    </xf>
    <xf numFmtId="2" fontId="3" fillId="3" borderId="0" xfId="0" applyNumberFormat="1" applyFont="1" applyFill="1" applyAlignment="1">
      <alignment wrapText="1"/>
    </xf>
    <xf numFmtId="164" fontId="8" fillId="3" borderId="1" xfId="0" applyNumberFormat="1" applyFont="1" applyFill="1" applyBorder="1" applyAlignment="1">
      <alignment horizontal="center"/>
    </xf>
    <xf numFmtId="164" fontId="8" fillId="3" borderId="1" xfId="1" applyNumberFormat="1" applyFont="1" applyFill="1" applyBorder="1" applyAlignment="1">
      <alignment horizontal="center"/>
    </xf>
    <xf numFmtId="164" fontId="9" fillId="3" borderId="1" xfId="0" applyNumberFormat="1" applyFont="1" applyFill="1" applyBorder="1"/>
    <xf numFmtId="164" fontId="8" fillId="3" borderId="1" xfId="1" applyNumberFormat="1" applyFont="1" applyFill="1" applyBorder="1"/>
    <xf numFmtId="2" fontId="9" fillId="3" borderId="1" xfId="0" applyNumberFormat="1" applyFont="1" applyFill="1" applyBorder="1"/>
    <xf numFmtId="2" fontId="8" fillId="3" borderId="1" xfId="0" applyNumberFormat="1" applyFont="1" applyFill="1" applyBorder="1"/>
    <xf numFmtId="164" fontId="8" fillId="3" borderId="1" xfId="2" applyNumberFormat="1" applyFont="1" applyFill="1" applyBorder="1"/>
    <xf numFmtId="2" fontId="9" fillId="4" borderId="1" xfId="0" applyNumberFormat="1" applyFont="1" applyFill="1" applyBorder="1"/>
    <xf numFmtId="164" fontId="8" fillId="3" borderId="1" xfId="3" applyNumberFormat="1" applyFont="1" applyFill="1" applyBorder="1"/>
    <xf numFmtId="164" fontId="8" fillId="3" borderId="1" xfId="4" applyNumberFormat="1" applyFont="1" applyFill="1" applyBorder="1"/>
    <xf numFmtId="0" fontId="10" fillId="5" borderId="6" xfId="0" applyFont="1" applyFill="1" applyBorder="1" applyAlignment="1" applyProtection="1">
      <alignment vertical="center" wrapText="1" readingOrder="1"/>
      <protection locked="0"/>
    </xf>
    <xf numFmtId="0" fontId="10" fillId="5" borderId="7" xfId="0" applyFont="1" applyFill="1" applyBorder="1" applyAlignment="1" applyProtection="1">
      <alignment horizontal="center" vertical="top" wrapText="1" readingOrder="1"/>
      <protection locked="0"/>
    </xf>
    <xf numFmtId="0" fontId="10" fillId="5" borderId="9" xfId="0" applyFont="1" applyFill="1" applyBorder="1" applyAlignment="1" applyProtection="1">
      <alignment horizontal="center" vertical="top" wrapText="1" readingOrder="1"/>
      <protection locked="0"/>
    </xf>
    <xf numFmtId="0" fontId="10" fillId="5" borderId="1" xfId="0" applyFont="1" applyFill="1" applyBorder="1" applyAlignment="1" applyProtection="1">
      <alignment horizontal="center" vertical="top" wrapText="1" readingOrder="1"/>
      <protection locked="0"/>
    </xf>
    <xf numFmtId="0" fontId="9" fillId="5" borderId="6" xfId="0" applyFont="1" applyFill="1" applyBorder="1" applyAlignment="1" applyProtection="1">
      <alignment vertical="top" wrapText="1"/>
      <protection locked="0"/>
    </xf>
    <xf numFmtId="0" fontId="9" fillId="3" borderId="1" xfId="0" applyFont="1" applyFill="1" applyBorder="1" applyAlignment="1" applyProtection="1">
      <alignment vertical="top" wrapText="1"/>
      <protection locked="0"/>
    </xf>
    <xf numFmtId="165" fontId="8" fillId="3" borderId="1" xfId="1" applyNumberFormat="1" applyFont="1" applyFill="1" applyBorder="1"/>
    <xf numFmtId="2" fontId="11" fillId="3" borderId="7" xfId="0" applyNumberFormat="1" applyFont="1" applyFill="1" applyBorder="1" applyAlignment="1" applyProtection="1">
      <alignment horizontal="right" vertical="top" wrapText="1" readingOrder="1"/>
      <protection locked="0"/>
    </xf>
    <xf numFmtId="2" fontId="11" fillId="3" borderId="8" xfId="0" applyNumberFormat="1" applyFont="1" applyFill="1" applyBorder="1" applyAlignment="1" applyProtection="1">
      <alignment horizontal="right" vertical="top" wrapText="1" readingOrder="1"/>
      <protection locked="0"/>
    </xf>
    <xf numFmtId="2" fontId="9" fillId="3" borderId="1" xfId="0" applyNumberFormat="1" applyFont="1" applyFill="1" applyBorder="1" applyAlignment="1" applyProtection="1">
      <alignment vertical="top" wrapText="1"/>
      <protection locked="0"/>
    </xf>
    <xf numFmtId="2" fontId="11" fillId="3" borderId="9" xfId="0" applyNumberFormat="1" applyFont="1" applyFill="1" applyBorder="1" applyAlignment="1" applyProtection="1">
      <alignment horizontal="right" vertical="top" wrapText="1" readingOrder="1"/>
      <protection locked="0"/>
    </xf>
    <xf numFmtId="2" fontId="11" fillId="3" borderId="8" xfId="0" applyNumberFormat="1" applyFont="1" applyFill="1" applyBorder="1" applyAlignment="1" applyProtection="1">
      <alignment vertical="top" wrapText="1" readingOrder="1"/>
      <protection locked="0"/>
    </xf>
    <xf numFmtId="2" fontId="11" fillId="3" borderId="1" xfId="0" applyNumberFormat="1" applyFont="1" applyFill="1" applyBorder="1" applyAlignment="1" applyProtection="1">
      <alignment horizontal="right" vertical="top" wrapText="1" readingOrder="1"/>
      <protection locked="0"/>
    </xf>
    <xf numFmtId="2" fontId="11" fillId="5" borderId="1" xfId="0" applyNumberFormat="1" applyFont="1" applyFill="1" applyBorder="1" applyAlignment="1" applyProtection="1">
      <alignment horizontal="right" vertical="top" wrapText="1" readingOrder="1"/>
      <protection locked="0"/>
    </xf>
    <xf numFmtId="2" fontId="11" fillId="3" borderId="6" xfId="0" applyNumberFormat="1" applyFont="1" applyFill="1" applyBorder="1" applyAlignment="1" applyProtection="1">
      <alignment horizontal="right" vertical="top" wrapText="1" readingOrder="1"/>
      <protection locked="0"/>
    </xf>
    <xf numFmtId="2" fontId="11" fillId="3" borderId="13" xfId="0" applyNumberFormat="1" applyFont="1" applyFill="1" applyBorder="1" applyAlignment="1" applyProtection="1">
      <alignment horizontal="right" vertical="top" wrapText="1" readingOrder="1"/>
      <protection locked="0"/>
    </xf>
    <xf numFmtId="165" fontId="12" fillId="3" borderId="1" xfId="5" applyNumberFormat="1" applyFont="1" applyFill="1" applyBorder="1"/>
    <xf numFmtId="2" fontId="13" fillId="3" borderId="1" xfId="0" applyNumberFormat="1" applyFont="1" applyFill="1" applyBorder="1"/>
    <xf numFmtId="165" fontId="12" fillId="3" borderId="1" xfId="1" applyNumberFormat="1" applyFont="1" applyFill="1" applyBorder="1"/>
    <xf numFmtId="165" fontId="8" fillId="3" borderId="1" xfId="3" applyNumberFormat="1" applyFont="1" applyFill="1" applyBorder="1"/>
    <xf numFmtId="0" fontId="9" fillId="3" borderId="0" xfId="0" applyFont="1" applyFill="1"/>
    <xf numFmtId="165" fontId="8" fillId="3" borderId="1" xfId="5" applyNumberFormat="1" applyFont="1" applyFill="1" applyBorder="1"/>
    <xf numFmtId="165" fontId="8" fillId="3" borderId="1" xfId="4" applyNumberFormat="1" applyFont="1" applyFill="1" applyBorder="1"/>
    <xf numFmtId="2" fontId="15" fillId="0" borderId="1" xfId="6" applyNumberFormat="1" applyFont="1" applyBorder="1" applyAlignment="1" applyProtection="1">
      <alignment horizontal="center" vertical="center" wrapText="1" readingOrder="1"/>
      <protection locked="0"/>
    </xf>
    <xf numFmtId="2" fontId="15" fillId="0" borderId="1" xfId="6" applyNumberFormat="1" applyFont="1" applyBorder="1" applyAlignment="1" applyProtection="1">
      <alignment horizontal="center" vertical="top" wrapText="1" readingOrder="1"/>
      <protection locked="0"/>
    </xf>
    <xf numFmtId="2" fontId="15" fillId="0" borderId="9" xfId="6" applyNumberFormat="1" applyFont="1" applyBorder="1" applyAlignment="1" applyProtection="1">
      <alignment horizontal="center" vertical="top" wrapText="1" readingOrder="1"/>
      <protection locked="0"/>
    </xf>
    <xf numFmtId="2" fontId="15" fillId="0" borderId="1" xfId="6" applyNumberFormat="1" applyFont="1" applyBorder="1" applyAlignment="1" applyProtection="1">
      <alignment vertical="center" wrapText="1" readingOrder="1"/>
      <protection locked="0"/>
    </xf>
    <xf numFmtId="2" fontId="15" fillId="0" borderId="7" xfId="6" applyNumberFormat="1" applyFont="1" applyBorder="1" applyAlignment="1" applyProtection="1">
      <alignment horizontal="center" vertical="top" wrapText="1" readingOrder="1"/>
      <protection locked="0"/>
    </xf>
    <xf numFmtId="2" fontId="13" fillId="0" borderId="1" xfId="6" applyNumberFormat="1" applyFont="1" applyBorder="1"/>
    <xf numFmtId="2" fontId="13" fillId="0" borderId="1" xfId="6" applyNumberFormat="1" applyFont="1" applyBorder="1" applyAlignment="1" applyProtection="1">
      <alignment vertical="top" wrapText="1"/>
      <protection locked="0"/>
    </xf>
    <xf numFmtId="1" fontId="12" fillId="0" borderId="1" xfId="6" applyNumberFormat="1" applyFont="1" applyBorder="1"/>
    <xf numFmtId="2" fontId="12" fillId="0" borderId="1" xfId="1" applyNumberFormat="1" applyFont="1" applyBorder="1"/>
    <xf numFmtId="2" fontId="16" fillId="0" borderId="1" xfId="6" applyNumberFormat="1" applyFont="1" applyBorder="1" applyAlignment="1" applyProtection="1">
      <alignment horizontal="right" vertical="top" wrapText="1" readingOrder="1"/>
      <protection locked="0"/>
    </xf>
    <xf numFmtId="2" fontId="16" fillId="0" borderId="9" xfId="6" applyNumberFormat="1" applyFont="1" applyBorder="1" applyAlignment="1" applyProtection="1">
      <alignment horizontal="right" vertical="top" wrapText="1" readingOrder="1"/>
      <protection locked="0"/>
    </xf>
    <xf numFmtId="2" fontId="16" fillId="0" borderId="7" xfId="6" applyNumberFormat="1" applyFont="1" applyBorder="1" applyAlignment="1" applyProtection="1">
      <alignment horizontal="right" vertical="top" wrapText="1" readingOrder="1"/>
      <protection locked="0"/>
    </xf>
    <xf numFmtId="2" fontId="16" fillId="0" borderId="8" xfId="6" applyNumberFormat="1" applyFont="1" applyBorder="1" applyAlignment="1" applyProtection="1">
      <alignment horizontal="right" vertical="top" wrapText="1" readingOrder="1"/>
      <protection locked="0"/>
    </xf>
    <xf numFmtId="2" fontId="16" fillId="0" borderId="8" xfId="6" applyNumberFormat="1" applyFont="1" applyBorder="1" applyAlignment="1" applyProtection="1">
      <alignment vertical="top" wrapText="1" readingOrder="1"/>
      <protection locked="0"/>
    </xf>
    <xf numFmtId="2" fontId="16" fillId="0" borderId="6" xfId="6" applyNumberFormat="1" applyFont="1" applyBorder="1" applyAlignment="1" applyProtection="1">
      <alignment horizontal="right" vertical="top" wrapText="1" readingOrder="1"/>
      <protection locked="0"/>
    </xf>
    <xf numFmtId="2" fontId="16" fillId="0" borderId="13" xfId="6" applyNumberFormat="1" applyFont="1" applyBorder="1" applyAlignment="1" applyProtection="1">
      <alignment horizontal="right" vertical="top" wrapText="1" readingOrder="1"/>
      <protection locked="0"/>
    </xf>
    <xf numFmtId="2" fontId="15" fillId="0" borderId="1" xfId="6" applyNumberFormat="1" applyFont="1" applyBorder="1" applyAlignment="1" applyProtection="1">
      <alignment horizontal="right" vertical="top" wrapText="1" readingOrder="1"/>
      <protection locked="0"/>
    </xf>
    <xf numFmtId="2" fontId="12" fillId="0" borderId="1" xfId="5" applyNumberFormat="1" applyFont="1" applyBorder="1"/>
    <xf numFmtId="2" fontId="13" fillId="0" borderId="4" xfId="6" applyNumberFormat="1" applyFont="1" applyBorder="1"/>
    <xf numFmtId="1" fontId="12" fillId="0" borderId="13" xfId="6" applyNumberFormat="1" applyFont="1" applyBorder="1"/>
    <xf numFmtId="2" fontId="12" fillId="0" borderId="15" xfId="1" applyNumberFormat="1" applyFont="1" applyBorder="1"/>
    <xf numFmtId="2" fontId="12" fillId="0" borderId="4" xfId="1" applyNumberFormat="1" applyFont="1" applyBorder="1"/>
    <xf numFmtId="2" fontId="12" fillId="0" borderId="4" xfId="3" applyNumberFormat="1" applyFont="1" applyFill="1" applyBorder="1"/>
    <xf numFmtId="2" fontId="13" fillId="0" borderId="0" xfId="6" applyNumberFormat="1" applyFont="1"/>
    <xf numFmtId="2" fontId="12" fillId="0" borderId="4" xfId="5" applyNumberFormat="1" applyFont="1" applyBorder="1"/>
    <xf numFmtId="2" fontId="12" fillId="0" borderId="4" xfId="4" applyNumberFormat="1" applyFont="1" applyBorder="1"/>
    <xf numFmtId="2" fontId="12" fillId="0" borderId="0" xfId="1" applyNumberFormat="1" applyFont="1"/>
    <xf numFmtId="2" fontId="16" fillId="0" borderId="16" xfId="6" applyNumberFormat="1" applyFont="1" applyBorder="1" applyAlignment="1" applyProtection="1">
      <alignment horizontal="right" vertical="top" wrapText="1" readingOrder="1"/>
      <protection locked="0"/>
    </xf>
    <xf numFmtId="2" fontId="12" fillId="0" borderId="0" xfId="1" applyNumberFormat="1" applyFont="1" applyAlignment="1">
      <alignment readingOrder="1"/>
    </xf>
    <xf numFmtId="2" fontId="12" fillId="3" borderId="1" xfId="7" applyNumberFormat="1" applyFont="1" applyFill="1" applyBorder="1" applyAlignment="1">
      <alignment horizontal="center" wrapText="1"/>
    </xf>
    <xf numFmtId="164" fontId="15" fillId="3" borderId="1" xfId="6" applyNumberFormat="1" applyFont="1" applyFill="1" applyBorder="1" applyAlignment="1" applyProtection="1">
      <alignment vertical="center" wrapText="1" readingOrder="1"/>
      <protection locked="0"/>
    </xf>
    <xf numFmtId="164" fontId="15" fillId="3" borderId="9" xfId="6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1" xfId="6" applyNumberFormat="1" applyFont="1" applyFill="1" applyBorder="1" applyAlignment="1" applyProtection="1">
      <alignment horizontal="center" vertical="top" wrapText="1" readingOrder="1"/>
      <protection locked="0"/>
    </xf>
    <xf numFmtId="164" fontId="12" fillId="3" borderId="17" xfId="6" applyNumberFormat="1" applyFont="1" applyFill="1" applyBorder="1" applyAlignment="1">
      <alignment horizontal="center" vertical="top"/>
    </xf>
    <xf numFmtId="164" fontId="15" fillId="3" borderId="7" xfId="6" applyNumberFormat="1" applyFont="1" applyFill="1" applyBorder="1" applyAlignment="1" applyProtection="1">
      <alignment horizontal="center" vertical="top" wrapText="1" readingOrder="1"/>
      <protection locked="0"/>
    </xf>
    <xf numFmtId="164" fontId="12" fillId="3" borderId="13" xfId="6" applyNumberFormat="1" applyFont="1" applyFill="1" applyBorder="1" applyAlignment="1">
      <alignment horizontal="center" vertical="top"/>
    </xf>
    <xf numFmtId="164" fontId="12" fillId="3" borderId="1" xfId="6" applyNumberFormat="1" applyFont="1" applyFill="1" applyBorder="1" applyAlignment="1" applyProtection="1">
      <alignment vertical="top" wrapText="1"/>
      <protection locked="0"/>
    </xf>
    <xf numFmtId="1" fontId="12" fillId="3" borderId="1" xfId="6" applyNumberFormat="1" applyFont="1" applyFill="1" applyBorder="1"/>
    <xf numFmtId="2" fontId="12" fillId="3" borderId="1" xfId="1" applyNumberFormat="1" applyFont="1" applyFill="1" applyBorder="1"/>
    <xf numFmtId="2" fontId="16" fillId="3" borderId="9" xfId="6" applyNumberFormat="1" applyFont="1" applyFill="1" applyBorder="1" applyAlignment="1" applyProtection="1">
      <alignment horizontal="right" vertical="top" wrapText="1" readingOrder="1"/>
      <protection locked="0"/>
    </xf>
    <xf numFmtId="2" fontId="16" fillId="3" borderId="7" xfId="6" applyNumberFormat="1" applyFont="1" applyFill="1" applyBorder="1" applyAlignment="1" applyProtection="1">
      <alignment horizontal="right" vertical="top" wrapText="1" readingOrder="1"/>
      <protection locked="0"/>
    </xf>
    <xf numFmtId="2" fontId="16" fillId="3" borderId="8" xfId="6" applyNumberFormat="1" applyFont="1" applyFill="1" applyBorder="1" applyAlignment="1" applyProtection="1">
      <alignment horizontal="right" vertical="top" wrapText="1" readingOrder="1"/>
      <protection locked="0"/>
    </xf>
    <xf numFmtId="2" fontId="13" fillId="3" borderId="1" xfId="6" applyNumberFormat="1" applyFont="1" applyFill="1" applyBorder="1" applyAlignment="1" applyProtection="1">
      <alignment vertical="top" wrapText="1"/>
      <protection locked="0"/>
    </xf>
    <xf numFmtId="2" fontId="16" fillId="3" borderId="8" xfId="6" applyNumberFormat="1" applyFont="1" applyFill="1" applyBorder="1" applyAlignment="1" applyProtection="1">
      <alignment vertical="top" wrapText="1" readingOrder="1"/>
      <protection locked="0"/>
    </xf>
    <xf numFmtId="2" fontId="16" fillId="3" borderId="6" xfId="6" applyNumberFormat="1" applyFont="1" applyFill="1" applyBorder="1" applyAlignment="1" applyProtection="1">
      <alignment horizontal="right" vertical="top" wrapText="1" readingOrder="1"/>
      <protection locked="0"/>
    </xf>
    <xf numFmtId="2" fontId="16" fillId="3" borderId="13" xfId="6" applyNumberFormat="1" applyFont="1" applyFill="1" applyBorder="1" applyAlignment="1" applyProtection="1">
      <alignment horizontal="right" vertical="top" wrapText="1" readingOrder="1"/>
      <protection locked="0"/>
    </xf>
    <xf numFmtId="2" fontId="7" fillId="3" borderId="1" xfId="6" applyNumberFormat="1" applyFont="1" applyFill="1" applyBorder="1" applyAlignment="1" applyProtection="1">
      <alignment horizontal="right" vertical="top" wrapText="1" readingOrder="1"/>
      <protection locked="0"/>
    </xf>
    <xf numFmtId="164" fontId="12" fillId="3" borderId="1" xfId="5" applyNumberFormat="1" applyFont="1" applyFill="1" applyBorder="1"/>
    <xf numFmtId="2" fontId="13" fillId="3" borderId="4" xfId="6" applyNumberFormat="1" applyFont="1" applyFill="1" applyBorder="1"/>
    <xf numFmtId="2" fontId="13" fillId="3" borderId="1" xfId="6" applyNumberFormat="1" applyFont="1" applyFill="1" applyBorder="1"/>
    <xf numFmtId="164" fontId="12" fillId="3" borderId="1" xfId="1" applyNumberFormat="1" applyFont="1" applyFill="1" applyBorder="1"/>
    <xf numFmtId="2" fontId="16" fillId="3" borderId="1" xfId="6" applyNumberFormat="1" applyFont="1" applyFill="1" applyBorder="1" applyAlignment="1" applyProtection="1">
      <alignment horizontal="right" vertical="top" wrapText="1" readingOrder="1"/>
      <protection locked="0"/>
    </xf>
    <xf numFmtId="2" fontId="13" fillId="3" borderId="1" xfId="6" applyNumberFormat="1" applyFont="1" applyFill="1" applyBorder="1" applyAlignment="1">
      <alignment vertical="top" readingOrder="1"/>
    </xf>
    <xf numFmtId="2" fontId="16" fillId="3" borderId="1" xfId="6" applyNumberFormat="1" applyFont="1" applyFill="1" applyBorder="1" applyAlignment="1" applyProtection="1">
      <alignment vertical="top" wrapText="1" readingOrder="1"/>
      <protection locked="0"/>
    </xf>
    <xf numFmtId="2" fontId="16" fillId="3" borderId="18" xfId="6" applyNumberFormat="1" applyFont="1" applyFill="1" applyBorder="1" applyAlignment="1" applyProtection="1">
      <alignment horizontal="right" vertical="top" wrapText="1" readingOrder="1"/>
      <protection locked="0"/>
    </xf>
    <xf numFmtId="2" fontId="16" fillId="3" borderId="19" xfId="6" applyNumberFormat="1" applyFont="1" applyFill="1" applyBorder="1" applyAlignment="1" applyProtection="1">
      <alignment vertical="top" wrapText="1" readingOrder="1"/>
      <protection locked="0"/>
    </xf>
    <xf numFmtId="164" fontId="12" fillId="3" borderId="1" xfId="3" applyNumberFormat="1" applyFont="1" applyFill="1" applyBorder="1"/>
    <xf numFmtId="164" fontId="12" fillId="3" borderId="5" xfId="1" applyNumberFormat="1" applyFont="1" applyFill="1" applyBorder="1"/>
    <xf numFmtId="2" fontId="16" fillId="3" borderId="11" xfId="6" applyNumberFormat="1" applyFont="1" applyFill="1" applyBorder="1" applyAlignment="1" applyProtection="1">
      <alignment horizontal="right" vertical="top" wrapText="1" readingOrder="1"/>
      <protection locked="0"/>
    </xf>
    <xf numFmtId="2" fontId="16" fillId="3" borderId="16" xfId="6" applyNumberFormat="1" applyFont="1" applyFill="1" applyBorder="1" applyAlignment="1" applyProtection="1">
      <alignment horizontal="right" vertical="top" wrapText="1" readingOrder="1"/>
      <protection locked="0"/>
    </xf>
    <xf numFmtId="2" fontId="16" fillId="3" borderId="10" xfId="6" applyNumberFormat="1" applyFont="1" applyFill="1" applyBorder="1" applyAlignment="1" applyProtection="1">
      <alignment horizontal="right" vertical="top" wrapText="1" readingOrder="1"/>
      <protection locked="0"/>
    </xf>
    <xf numFmtId="2" fontId="13" fillId="3" borderId="5" xfId="6" applyNumberFormat="1" applyFont="1" applyFill="1" applyBorder="1" applyAlignment="1" applyProtection="1">
      <alignment vertical="top" wrapText="1"/>
      <protection locked="0"/>
    </xf>
    <xf numFmtId="2" fontId="16" fillId="3" borderId="10" xfId="6" applyNumberFormat="1" applyFont="1" applyFill="1" applyBorder="1" applyAlignment="1" applyProtection="1">
      <alignment vertical="top" wrapText="1" readingOrder="1"/>
      <protection locked="0"/>
    </xf>
    <xf numFmtId="2" fontId="16" fillId="3" borderId="5" xfId="6" applyNumberFormat="1" applyFont="1" applyFill="1" applyBorder="1" applyAlignment="1" applyProtection="1">
      <alignment horizontal="right" vertical="top" wrapText="1" readingOrder="1"/>
      <protection locked="0"/>
    </xf>
    <xf numFmtId="164" fontId="12" fillId="3" borderId="13" xfId="5" applyNumberFormat="1" applyFont="1" applyFill="1" applyBorder="1"/>
    <xf numFmtId="2" fontId="16" fillId="3" borderId="19" xfId="6" applyNumberFormat="1" applyFont="1" applyFill="1" applyBorder="1" applyAlignment="1" applyProtection="1">
      <alignment horizontal="right" vertical="top" wrapText="1" readingOrder="1"/>
      <protection locked="0"/>
    </xf>
    <xf numFmtId="2" fontId="13" fillId="3" borderId="13" xfId="6" applyNumberFormat="1" applyFont="1" applyFill="1" applyBorder="1" applyAlignment="1" applyProtection="1">
      <alignment vertical="top" wrapText="1"/>
      <protection locked="0"/>
    </xf>
    <xf numFmtId="164" fontId="12" fillId="3" borderId="1" xfId="4" applyNumberFormat="1" applyFont="1" applyFill="1" applyBorder="1"/>
    <xf numFmtId="2" fontId="7" fillId="3" borderId="5" xfId="6" applyNumberFormat="1" applyFont="1" applyFill="1" applyBorder="1" applyAlignment="1" applyProtection="1">
      <alignment horizontal="right" vertical="top" wrapText="1" readingOrder="1"/>
      <protection locked="0"/>
    </xf>
    <xf numFmtId="164" fontId="13" fillId="3" borderId="0" xfId="6" applyNumberFormat="1" applyFont="1" applyFill="1"/>
    <xf numFmtId="2" fontId="19" fillId="3" borderId="1" xfId="7" applyNumberFormat="1" applyFont="1" applyFill="1" applyBorder="1" applyAlignment="1">
      <alignment horizontal="center" wrapText="1"/>
    </xf>
    <xf numFmtId="164" fontId="20" fillId="3" borderId="1" xfId="6" applyNumberFormat="1" applyFont="1" applyFill="1" applyBorder="1" applyAlignment="1" applyProtection="1">
      <alignment vertical="center" wrapText="1" readingOrder="1"/>
      <protection locked="0"/>
    </xf>
    <xf numFmtId="164" fontId="20" fillId="3" borderId="9" xfId="6" applyNumberFormat="1" applyFont="1" applyFill="1" applyBorder="1" applyAlignment="1" applyProtection="1">
      <alignment horizontal="center" vertical="top" wrapText="1" readingOrder="1"/>
      <protection locked="0"/>
    </xf>
    <xf numFmtId="164" fontId="20" fillId="3" borderId="1" xfId="6" applyNumberFormat="1" applyFont="1" applyFill="1" applyBorder="1" applyAlignment="1" applyProtection="1">
      <alignment horizontal="center" vertical="top" wrapText="1" readingOrder="1"/>
      <protection locked="0"/>
    </xf>
    <xf numFmtId="164" fontId="19" fillId="3" borderId="17" xfId="6" applyNumberFormat="1" applyFont="1" applyFill="1" applyBorder="1" applyAlignment="1">
      <alignment horizontal="center" vertical="top"/>
    </xf>
    <xf numFmtId="164" fontId="20" fillId="3" borderId="7" xfId="6" applyNumberFormat="1" applyFont="1" applyFill="1" applyBorder="1" applyAlignment="1" applyProtection="1">
      <alignment horizontal="center" vertical="top" wrapText="1" readingOrder="1"/>
      <protection locked="0"/>
    </xf>
    <xf numFmtId="164" fontId="19" fillId="3" borderId="13" xfId="6" applyNumberFormat="1" applyFont="1" applyFill="1" applyBorder="1" applyAlignment="1">
      <alignment horizontal="center" vertical="top"/>
    </xf>
    <xf numFmtId="164" fontId="19" fillId="3" borderId="1" xfId="6" applyNumberFormat="1" applyFont="1" applyFill="1" applyBorder="1" applyAlignment="1" applyProtection="1">
      <alignment vertical="top" wrapText="1"/>
      <protection locked="0"/>
    </xf>
    <xf numFmtId="1" fontId="19" fillId="3" borderId="1" xfId="6" applyNumberFormat="1" applyFont="1" applyFill="1" applyBorder="1"/>
    <xf numFmtId="2" fontId="19" fillId="3" borderId="1" xfId="1" applyNumberFormat="1" applyFont="1" applyFill="1" applyBorder="1"/>
    <xf numFmtId="2" fontId="21" fillId="3" borderId="9" xfId="6" applyNumberFormat="1" applyFont="1" applyFill="1" applyBorder="1" applyAlignment="1" applyProtection="1">
      <alignment horizontal="right" wrapText="1" readingOrder="1"/>
      <protection locked="0"/>
    </xf>
    <xf numFmtId="2" fontId="21" fillId="3" borderId="7" xfId="6" applyNumberFormat="1" applyFont="1" applyFill="1" applyBorder="1" applyAlignment="1" applyProtection="1">
      <alignment horizontal="right" wrapText="1" readingOrder="1"/>
      <protection locked="0"/>
    </xf>
    <xf numFmtId="2" fontId="21" fillId="3" borderId="7" xfId="6" applyNumberFormat="1" applyFont="1" applyFill="1" applyBorder="1" applyAlignment="1" applyProtection="1">
      <alignment horizontal="right" vertical="top" wrapText="1" readingOrder="1"/>
      <protection locked="0"/>
    </xf>
    <xf numFmtId="2" fontId="21" fillId="3" borderId="8" xfId="6" applyNumberFormat="1" applyFont="1" applyFill="1" applyBorder="1" applyAlignment="1" applyProtection="1">
      <alignment horizontal="right" wrapText="1" readingOrder="1"/>
      <protection locked="0"/>
    </xf>
    <xf numFmtId="2" fontId="22" fillId="3" borderId="1" xfId="6" applyNumberFormat="1" applyFont="1" applyFill="1" applyBorder="1" applyAlignment="1" applyProtection="1">
      <alignment wrapText="1" readingOrder="1"/>
      <protection locked="0"/>
    </xf>
    <xf numFmtId="2" fontId="21" fillId="3" borderId="8" xfId="6" applyNumberFormat="1" applyFont="1" applyFill="1" applyBorder="1" applyAlignment="1" applyProtection="1">
      <alignment wrapText="1" readingOrder="1"/>
      <protection locked="0"/>
    </xf>
    <xf numFmtId="2" fontId="21" fillId="3" borderId="6" xfId="6" applyNumberFormat="1" applyFont="1" applyFill="1" applyBorder="1" applyAlignment="1" applyProtection="1">
      <alignment horizontal="right" wrapText="1" readingOrder="1"/>
      <protection locked="0"/>
    </xf>
    <xf numFmtId="2" fontId="21" fillId="3" borderId="13" xfId="6" applyNumberFormat="1" applyFont="1" applyFill="1" applyBorder="1" applyAlignment="1" applyProtection="1">
      <alignment horizontal="right" wrapText="1" readingOrder="1"/>
      <protection locked="0"/>
    </xf>
    <xf numFmtId="2" fontId="23" fillId="3" borderId="1" xfId="6" applyNumberFormat="1" applyFont="1" applyFill="1" applyBorder="1" applyAlignment="1" applyProtection="1">
      <alignment horizontal="right" wrapText="1" readingOrder="1"/>
      <protection locked="0"/>
    </xf>
    <xf numFmtId="164" fontId="19" fillId="3" borderId="1" xfId="5" applyNumberFormat="1" applyFont="1" applyFill="1" applyBorder="1"/>
    <xf numFmtId="2" fontId="22" fillId="3" borderId="4" xfId="6" applyNumberFormat="1" applyFont="1" applyFill="1" applyBorder="1" applyAlignment="1">
      <alignment readingOrder="1"/>
    </xf>
    <xf numFmtId="2" fontId="22" fillId="3" borderId="1" xfId="6" applyNumberFormat="1" applyFont="1" applyFill="1" applyBorder="1" applyAlignment="1">
      <alignment readingOrder="1"/>
    </xf>
    <xf numFmtId="164" fontId="19" fillId="3" borderId="1" xfId="1" applyNumberFormat="1" applyFont="1" applyFill="1" applyBorder="1"/>
    <xf numFmtId="2" fontId="21" fillId="3" borderId="1" xfId="6" applyNumberFormat="1" applyFont="1" applyFill="1" applyBorder="1" applyAlignment="1" applyProtection="1">
      <alignment horizontal="right" wrapText="1" readingOrder="1"/>
      <protection locked="0"/>
    </xf>
    <xf numFmtId="2" fontId="21" fillId="3" borderId="1" xfId="6" applyNumberFormat="1" applyFont="1" applyFill="1" applyBorder="1" applyAlignment="1" applyProtection="1">
      <alignment wrapText="1" readingOrder="1"/>
      <protection locked="0"/>
    </xf>
    <xf numFmtId="2" fontId="21" fillId="3" borderId="18" xfId="6" applyNumberFormat="1" applyFont="1" applyFill="1" applyBorder="1" applyAlignment="1" applyProtection="1">
      <alignment horizontal="right" wrapText="1" readingOrder="1"/>
      <protection locked="0"/>
    </xf>
    <xf numFmtId="2" fontId="21" fillId="3" borderId="19" xfId="6" applyNumberFormat="1" applyFont="1" applyFill="1" applyBorder="1" applyAlignment="1" applyProtection="1">
      <alignment wrapText="1" readingOrder="1"/>
      <protection locked="0"/>
    </xf>
    <xf numFmtId="2" fontId="24" fillId="3" borderId="7" xfId="6" applyNumberFormat="1" applyFont="1" applyFill="1" applyBorder="1" applyAlignment="1" applyProtection="1">
      <alignment horizontal="right" wrapText="1" readingOrder="1"/>
      <protection locked="0"/>
    </xf>
    <xf numFmtId="1" fontId="19" fillId="3" borderId="5" xfId="6" applyNumberFormat="1" applyFont="1" applyFill="1" applyBorder="1"/>
    <xf numFmtId="164" fontId="19" fillId="3" borderId="5" xfId="1" applyNumberFormat="1" applyFont="1" applyFill="1" applyBorder="1"/>
    <xf numFmtId="2" fontId="21" fillId="3" borderId="11" xfId="6" applyNumberFormat="1" applyFont="1" applyFill="1" applyBorder="1" applyAlignment="1" applyProtection="1">
      <alignment horizontal="right" wrapText="1" readingOrder="1"/>
      <protection locked="0"/>
    </xf>
    <xf numFmtId="2" fontId="21" fillId="3" borderId="16" xfId="6" applyNumberFormat="1" applyFont="1" applyFill="1" applyBorder="1" applyAlignment="1" applyProtection="1">
      <alignment horizontal="right" wrapText="1" readingOrder="1"/>
      <protection locked="0"/>
    </xf>
    <xf numFmtId="2" fontId="21" fillId="3" borderId="10" xfId="6" applyNumberFormat="1" applyFont="1" applyFill="1" applyBorder="1" applyAlignment="1" applyProtection="1">
      <alignment horizontal="right" wrapText="1" readingOrder="1"/>
      <protection locked="0"/>
    </xf>
    <xf numFmtId="2" fontId="22" fillId="3" borderId="5" xfId="6" applyNumberFormat="1" applyFont="1" applyFill="1" applyBorder="1" applyAlignment="1" applyProtection="1">
      <alignment wrapText="1" readingOrder="1"/>
      <protection locked="0"/>
    </xf>
    <xf numFmtId="2" fontId="21" fillId="3" borderId="10" xfId="6" applyNumberFormat="1" applyFont="1" applyFill="1" applyBorder="1" applyAlignment="1" applyProtection="1">
      <alignment wrapText="1" readingOrder="1"/>
      <protection locked="0"/>
    </xf>
    <xf numFmtId="2" fontId="21" fillId="3" borderId="5" xfId="6" applyNumberFormat="1" applyFont="1" applyFill="1" applyBorder="1" applyAlignment="1" applyProtection="1">
      <alignment horizontal="right" wrapText="1" readingOrder="1"/>
      <protection locked="0"/>
    </xf>
    <xf numFmtId="166" fontId="19" fillId="3" borderId="1" xfId="1" applyNumberFormat="1" applyFont="1" applyFill="1" applyBorder="1"/>
    <xf numFmtId="1" fontId="19" fillId="3" borderId="13" xfId="6" applyNumberFormat="1" applyFont="1" applyFill="1" applyBorder="1"/>
    <xf numFmtId="164" fontId="19" fillId="3" borderId="13" xfId="1" applyNumberFormat="1" applyFont="1" applyFill="1" applyBorder="1"/>
    <xf numFmtId="2" fontId="21" fillId="3" borderId="19" xfId="6" applyNumberFormat="1" applyFont="1" applyFill="1" applyBorder="1" applyAlignment="1" applyProtection="1">
      <alignment horizontal="right" wrapText="1" readingOrder="1"/>
      <protection locked="0"/>
    </xf>
    <xf numFmtId="2" fontId="22" fillId="3" borderId="13" xfId="6" applyNumberFormat="1" applyFont="1" applyFill="1" applyBorder="1" applyAlignment="1" applyProtection="1">
      <alignment wrapText="1" readingOrder="1"/>
      <protection locked="0"/>
    </xf>
    <xf numFmtId="2" fontId="22" fillId="3" borderId="13" xfId="6" applyNumberFormat="1" applyFont="1" applyFill="1" applyBorder="1" applyAlignment="1">
      <alignment readingOrder="1"/>
    </xf>
    <xf numFmtId="164" fontId="19" fillId="3" borderId="1" xfId="3" applyNumberFormat="1" applyFont="1" applyFill="1" applyBorder="1"/>
    <xf numFmtId="1" fontId="19" fillId="3" borderId="5" xfId="1" applyNumberFormat="1" applyFont="1" applyFill="1" applyBorder="1"/>
    <xf numFmtId="164" fontId="19" fillId="3" borderId="13" xfId="5" applyNumberFormat="1" applyFont="1" applyFill="1" applyBorder="1"/>
    <xf numFmtId="164" fontId="19" fillId="3" borderId="1" xfId="4" applyNumberFormat="1" applyFont="1" applyFill="1" applyBorder="1"/>
    <xf numFmtId="164" fontId="25" fillId="3" borderId="0" xfId="6" applyNumberFormat="1" applyFont="1" applyFill="1"/>
    <xf numFmtId="2" fontId="27" fillId="3" borderId="1" xfId="7" applyNumberFormat="1" applyFont="1" applyFill="1" applyBorder="1" applyAlignment="1">
      <alignment horizontal="center" vertical="center" wrapText="1"/>
    </xf>
    <xf numFmtId="164" fontId="27" fillId="3" borderId="1" xfId="6" applyNumberFormat="1" applyFont="1" applyFill="1" applyBorder="1" applyAlignment="1" applyProtection="1">
      <alignment horizontal="center" vertical="center" wrapText="1"/>
      <protection locked="0"/>
    </xf>
    <xf numFmtId="164" fontId="27" fillId="3" borderId="9" xfId="6" applyNumberFormat="1" applyFont="1" applyFill="1" applyBorder="1" applyAlignment="1" applyProtection="1">
      <alignment horizontal="center" vertical="center" wrapText="1"/>
      <protection locked="0"/>
    </xf>
    <xf numFmtId="164" fontId="27" fillId="3" borderId="17" xfId="6" applyNumberFormat="1" applyFont="1" applyFill="1" applyBorder="1" applyAlignment="1">
      <alignment horizontal="center" vertical="center"/>
    </xf>
    <xf numFmtId="164" fontId="27" fillId="3" borderId="1" xfId="6" applyNumberFormat="1" applyFont="1" applyFill="1" applyBorder="1" applyAlignment="1" applyProtection="1">
      <alignment vertical="center" wrapText="1"/>
      <protection locked="0"/>
    </xf>
    <xf numFmtId="164" fontId="27" fillId="3" borderId="7" xfId="6" applyNumberFormat="1" applyFont="1" applyFill="1" applyBorder="1" applyAlignment="1" applyProtection="1">
      <alignment horizontal="center" vertical="center" wrapText="1"/>
      <protection locked="0"/>
    </xf>
    <xf numFmtId="164" fontId="27" fillId="3" borderId="13" xfId="6" applyNumberFormat="1" applyFont="1" applyFill="1" applyBorder="1" applyAlignment="1">
      <alignment horizontal="center" vertical="center"/>
    </xf>
    <xf numFmtId="1" fontId="27" fillId="3" borderId="1" xfId="6" applyNumberFormat="1" applyFont="1" applyFill="1" applyBorder="1"/>
    <xf numFmtId="2" fontId="27" fillId="3" borderId="1" xfId="1" applyNumberFormat="1" applyFont="1" applyFill="1" applyBorder="1"/>
    <xf numFmtId="2" fontId="22" fillId="3" borderId="9" xfId="6" applyNumberFormat="1" applyFont="1" applyFill="1" applyBorder="1" applyAlignment="1" applyProtection="1">
      <alignment horizontal="right" wrapText="1" readingOrder="1"/>
      <protection locked="0"/>
    </xf>
    <xf numFmtId="2" fontId="22" fillId="3" borderId="7" xfId="6" applyNumberFormat="1" applyFont="1" applyFill="1" applyBorder="1" applyAlignment="1" applyProtection="1">
      <alignment horizontal="right" wrapText="1" readingOrder="1"/>
      <protection locked="0"/>
    </xf>
    <xf numFmtId="2" fontId="22" fillId="3" borderId="7" xfId="6" applyNumberFormat="1" applyFont="1" applyFill="1" applyBorder="1" applyAlignment="1" applyProtection="1">
      <alignment horizontal="right" vertical="top" wrapText="1" readingOrder="1"/>
      <protection locked="0"/>
    </xf>
    <xf numFmtId="2" fontId="22" fillId="3" borderId="8" xfId="6" applyNumberFormat="1" applyFont="1" applyFill="1" applyBorder="1" applyAlignment="1" applyProtection="1">
      <alignment horizontal="right" wrapText="1" readingOrder="1"/>
      <protection locked="0"/>
    </xf>
    <xf numFmtId="2" fontId="22" fillId="3" borderId="8" xfId="6" applyNumberFormat="1" applyFont="1" applyFill="1" applyBorder="1" applyAlignment="1" applyProtection="1">
      <alignment wrapText="1" readingOrder="1"/>
      <protection locked="0"/>
    </xf>
    <xf numFmtId="2" fontId="22" fillId="3" borderId="6" xfId="6" applyNumberFormat="1" applyFont="1" applyFill="1" applyBorder="1" applyAlignment="1" applyProtection="1">
      <alignment horizontal="right" wrapText="1" readingOrder="1"/>
      <protection locked="0"/>
    </xf>
    <xf numFmtId="2" fontId="22" fillId="3" borderId="13" xfId="6" applyNumberFormat="1" applyFont="1" applyFill="1" applyBorder="1" applyAlignment="1" applyProtection="1">
      <alignment horizontal="right" wrapText="1" readingOrder="1"/>
      <protection locked="0"/>
    </xf>
    <xf numFmtId="164" fontId="27" fillId="3" borderId="1" xfId="6" applyNumberFormat="1" applyFont="1" applyFill="1" applyBorder="1" applyAlignment="1" applyProtection="1">
      <alignment horizontal="right" wrapText="1" readingOrder="1"/>
      <protection locked="0"/>
    </xf>
    <xf numFmtId="164" fontId="27" fillId="3" borderId="1" xfId="5" applyNumberFormat="1" applyFont="1" applyFill="1" applyBorder="1"/>
    <xf numFmtId="2" fontId="27" fillId="3" borderId="1" xfId="6" applyNumberFormat="1" applyFont="1" applyFill="1" applyBorder="1" applyAlignment="1" applyProtection="1">
      <alignment horizontal="right" wrapText="1" readingOrder="1"/>
      <protection locked="0"/>
    </xf>
    <xf numFmtId="164" fontId="27" fillId="3" borderId="1" xfId="1" applyNumberFormat="1" applyFont="1" applyFill="1" applyBorder="1"/>
    <xf numFmtId="2" fontId="22" fillId="3" borderId="1" xfId="6" applyNumberFormat="1" applyFont="1" applyFill="1" applyBorder="1" applyAlignment="1" applyProtection="1">
      <alignment horizontal="right" wrapText="1" readingOrder="1"/>
      <protection locked="0"/>
    </xf>
    <xf numFmtId="1" fontId="27" fillId="3" borderId="5" xfId="6" applyNumberFormat="1" applyFont="1" applyFill="1" applyBorder="1"/>
    <xf numFmtId="164" fontId="27" fillId="3" borderId="5" xfId="1" applyNumberFormat="1" applyFont="1" applyFill="1" applyBorder="1"/>
    <xf numFmtId="2" fontId="22" fillId="3" borderId="11" xfId="6" applyNumberFormat="1" applyFont="1" applyFill="1" applyBorder="1" applyAlignment="1" applyProtection="1">
      <alignment horizontal="right" wrapText="1" readingOrder="1"/>
      <protection locked="0"/>
    </xf>
    <xf numFmtId="2" fontId="22" fillId="3" borderId="16" xfId="6" applyNumberFormat="1" applyFont="1" applyFill="1" applyBorder="1" applyAlignment="1" applyProtection="1">
      <alignment horizontal="right" wrapText="1" readingOrder="1"/>
      <protection locked="0"/>
    </xf>
    <xf numFmtId="2" fontId="22" fillId="3" borderId="10" xfId="6" applyNumberFormat="1" applyFont="1" applyFill="1" applyBorder="1" applyAlignment="1" applyProtection="1">
      <alignment horizontal="right" wrapText="1" readingOrder="1"/>
      <protection locked="0"/>
    </xf>
    <xf numFmtId="2" fontId="22" fillId="3" borderId="10" xfId="6" applyNumberFormat="1" applyFont="1" applyFill="1" applyBorder="1" applyAlignment="1" applyProtection="1">
      <alignment wrapText="1" readingOrder="1"/>
      <protection locked="0"/>
    </xf>
    <xf numFmtId="2" fontId="22" fillId="3" borderId="5" xfId="6" applyNumberFormat="1" applyFont="1" applyFill="1" applyBorder="1" applyAlignment="1" applyProtection="1">
      <alignment horizontal="right" wrapText="1" readingOrder="1"/>
      <protection locked="0"/>
    </xf>
    <xf numFmtId="2" fontId="27" fillId="3" borderId="5" xfId="6" applyNumberFormat="1" applyFont="1" applyFill="1" applyBorder="1" applyAlignment="1" applyProtection="1">
      <alignment horizontal="right" wrapText="1" readingOrder="1"/>
      <protection locked="0"/>
    </xf>
    <xf numFmtId="1" fontId="27" fillId="3" borderId="13" xfId="6" applyNumberFormat="1" applyFont="1" applyFill="1" applyBorder="1"/>
    <xf numFmtId="164" fontId="27" fillId="3" borderId="13" xfId="1" applyNumberFormat="1" applyFont="1" applyFill="1" applyBorder="1"/>
    <xf numFmtId="2" fontId="22" fillId="3" borderId="18" xfId="6" applyNumberFormat="1" applyFont="1" applyFill="1" applyBorder="1" applyAlignment="1" applyProtection="1">
      <alignment horizontal="right" wrapText="1" readingOrder="1"/>
      <protection locked="0"/>
    </xf>
    <xf numFmtId="2" fontId="22" fillId="3" borderId="19" xfId="6" applyNumberFormat="1" applyFont="1" applyFill="1" applyBorder="1" applyAlignment="1" applyProtection="1">
      <alignment horizontal="right" wrapText="1" readingOrder="1"/>
      <protection locked="0"/>
    </xf>
    <xf numFmtId="2" fontId="22" fillId="3" borderId="19" xfId="6" applyNumberFormat="1" applyFont="1" applyFill="1" applyBorder="1" applyAlignment="1" applyProtection="1">
      <alignment wrapText="1" readingOrder="1"/>
      <protection locked="0"/>
    </xf>
    <xf numFmtId="2" fontId="27" fillId="3" borderId="13" xfId="6" applyNumberFormat="1" applyFont="1" applyFill="1" applyBorder="1" applyAlignment="1" applyProtection="1">
      <alignment horizontal="right" wrapText="1" readingOrder="1"/>
      <protection locked="0"/>
    </xf>
    <xf numFmtId="164" fontId="27" fillId="3" borderId="13" xfId="6" applyNumberFormat="1" applyFont="1" applyFill="1" applyBorder="1" applyAlignment="1" applyProtection="1">
      <alignment horizontal="right" wrapText="1" readingOrder="1"/>
      <protection locked="0"/>
    </xf>
    <xf numFmtId="164" fontId="27" fillId="3" borderId="1" xfId="3" applyNumberFormat="1" applyFont="1" applyFill="1" applyBorder="1"/>
    <xf numFmtId="164" fontId="27" fillId="3" borderId="13" xfId="5" applyNumberFormat="1" applyFont="1" applyFill="1" applyBorder="1"/>
    <xf numFmtId="164" fontId="27" fillId="3" borderId="1" xfId="4" applyNumberFormat="1" applyFont="1" applyFill="1" applyBorder="1"/>
    <xf numFmtId="164" fontId="22" fillId="3" borderId="1" xfId="6" applyNumberFormat="1" applyFont="1" applyFill="1" applyBorder="1"/>
    <xf numFmtId="2" fontId="27" fillId="0" borderId="1" xfId="7" applyNumberFormat="1" applyFont="1" applyBorder="1" applyAlignment="1">
      <alignment horizontal="center" vertical="center" wrapText="1"/>
    </xf>
    <xf numFmtId="164" fontId="27" fillId="0" borderId="1" xfId="6" applyNumberFormat="1" applyFont="1" applyBorder="1" applyAlignment="1" applyProtection="1">
      <alignment horizontal="center" vertical="center" wrapText="1"/>
      <protection locked="0"/>
    </xf>
    <xf numFmtId="164" fontId="27" fillId="0" borderId="9" xfId="6" applyNumberFormat="1" applyFont="1" applyBorder="1" applyAlignment="1" applyProtection="1">
      <alignment horizontal="center" vertical="center" wrapText="1"/>
      <protection locked="0"/>
    </xf>
    <xf numFmtId="164" fontId="27" fillId="0" borderId="17" xfId="6" applyNumberFormat="1" applyFont="1" applyBorder="1" applyAlignment="1">
      <alignment horizontal="center" vertical="center"/>
    </xf>
    <xf numFmtId="164" fontId="27" fillId="0" borderId="1" xfId="6" applyNumberFormat="1" applyFont="1" applyBorder="1" applyAlignment="1" applyProtection="1">
      <alignment vertical="center" wrapText="1"/>
      <protection locked="0"/>
    </xf>
    <xf numFmtId="164" fontId="27" fillId="0" borderId="7" xfId="6" applyNumberFormat="1" applyFont="1" applyBorder="1" applyAlignment="1" applyProtection="1">
      <alignment horizontal="center" vertical="center" wrapText="1"/>
      <protection locked="0"/>
    </xf>
    <xf numFmtId="164" fontId="27" fillId="0" borderId="13" xfId="6" applyNumberFormat="1" applyFont="1" applyBorder="1" applyAlignment="1">
      <alignment horizontal="center" vertical="center"/>
    </xf>
    <xf numFmtId="1" fontId="27" fillId="0" borderId="1" xfId="6" applyNumberFormat="1" applyFont="1" applyBorder="1"/>
    <xf numFmtId="2" fontId="27" fillId="0" borderId="1" xfId="1" applyNumberFormat="1" applyFont="1" applyBorder="1"/>
    <xf numFmtId="2" fontId="22" fillId="0" borderId="9" xfId="6" applyNumberFormat="1" applyFont="1" applyBorder="1" applyAlignment="1" applyProtection="1">
      <alignment horizontal="right" wrapText="1" readingOrder="1"/>
      <protection locked="0"/>
    </xf>
    <xf numFmtId="2" fontId="22" fillId="0" borderId="7" xfId="6" applyNumberFormat="1" applyFont="1" applyBorder="1" applyAlignment="1" applyProtection="1">
      <alignment horizontal="right" wrapText="1" readingOrder="1"/>
      <protection locked="0"/>
    </xf>
    <xf numFmtId="2" fontId="22" fillId="0" borderId="7" xfId="6" applyNumberFormat="1" applyFont="1" applyBorder="1" applyAlignment="1" applyProtection="1">
      <alignment horizontal="right" vertical="top" wrapText="1" readingOrder="1"/>
      <protection locked="0"/>
    </xf>
    <xf numFmtId="2" fontId="22" fillId="0" borderId="8" xfId="6" applyNumberFormat="1" applyFont="1" applyBorder="1" applyAlignment="1" applyProtection="1">
      <alignment horizontal="right" wrapText="1" readingOrder="1"/>
      <protection locked="0"/>
    </xf>
    <xf numFmtId="2" fontId="22" fillId="0" borderId="1" xfId="6" applyNumberFormat="1" applyFont="1" applyBorder="1" applyAlignment="1" applyProtection="1">
      <alignment wrapText="1" readingOrder="1"/>
      <protection locked="0"/>
    </xf>
    <xf numFmtId="2" fontId="22" fillId="0" borderId="8" xfId="6" applyNumberFormat="1" applyFont="1" applyBorder="1" applyAlignment="1" applyProtection="1">
      <alignment wrapText="1" readingOrder="1"/>
      <protection locked="0"/>
    </xf>
    <xf numFmtId="2" fontId="22" fillId="0" borderId="6" xfId="6" applyNumberFormat="1" applyFont="1" applyBorder="1" applyAlignment="1" applyProtection="1">
      <alignment horizontal="right" wrapText="1" readingOrder="1"/>
      <protection locked="0"/>
    </xf>
    <xf numFmtId="2" fontId="22" fillId="0" borderId="13" xfId="6" applyNumberFormat="1" applyFont="1" applyBorder="1" applyAlignment="1" applyProtection="1">
      <alignment horizontal="right" wrapText="1" readingOrder="1"/>
      <protection locked="0"/>
    </xf>
    <xf numFmtId="2" fontId="27" fillId="0" borderId="1" xfId="6" applyNumberFormat="1" applyFont="1" applyBorder="1" applyAlignment="1" applyProtection="1">
      <alignment horizontal="right" wrapText="1" readingOrder="1"/>
      <protection locked="0"/>
    </xf>
    <xf numFmtId="164" fontId="27" fillId="0" borderId="1" xfId="5" applyNumberFormat="1" applyFont="1" applyBorder="1"/>
    <xf numFmtId="2" fontId="22" fillId="0" borderId="4" xfId="6" applyNumberFormat="1" applyFont="1" applyBorder="1" applyAlignment="1">
      <alignment readingOrder="1"/>
    </xf>
    <xf numFmtId="2" fontId="22" fillId="0" borderId="1" xfId="6" applyNumberFormat="1" applyFont="1" applyBorder="1" applyAlignment="1">
      <alignment readingOrder="1"/>
    </xf>
    <xf numFmtId="164" fontId="27" fillId="0" borderId="1" xfId="1" applyNumberFormat="1" applyFont="1" applyBorder="1"/>
    <xf numFmtId="2" fontId="22" fillId="0" borderId="1" xfId="6" applyNumberFormat="1" applyFont="1" applyBorder="1" applyAlignment="1" applyProtection="1">
      <alignment horizontal="right" wrapText="1" readingOrder="1"/>
      <protection locked="0"/>
    </xf>
    <xf numFmtId="2" fontId="22" fillId="0" borderId="18" xfId="6" applyNumberFormat="1" applyFont="1" applyBorder="1" applyAlignment="1" applyProtection="1">
      <alignment horizontal="right" wrapText="1" readingOrder="1"/>
      <protection locked="0"/>
    </xf>
    <xf numFmtId="2" fontId="22" fillId="0" borderId="19" xfId="6" applyNumberFormat="1" applyFont="1" applyBorder="1" applyAlignment="1" applyProtection="1">
      <alignment wrapText="1" readingOrder="1"/>
      <protection locked="0"/>
    </xf>
    <xf numFmtId="2" fontId="22" fillId="0" borderId="16" xfId="6" applyNumberFormat="1" applyFont="1" applyBorder="1" applyAlignment="1" applyProtection="1">
      <alignment horizontal="right" wrapText="1" readingOrder="1"/>
      <protection locked="0"/>
    </xf>
    <xf numFmtId="2" fontId="22" fillId="0" borderId="5" xfId="6" applyNumberFormat="1" applyFont="1" applyBorder="1" applyAlignment="1" applyProtection="1">
      <alignment horizontal="right" wrapText="1" readingOrder="1"/>
      <protection locked="0"/>
    </xf>
    <xf numFmtId="2" fontId="22" fillId="0" borderId="13" xfId="6" applyNumberFormat="1" applyFont="1" applyBorder="1" applyAlignment="1">
      <alignment readingOrder="1"/>
    </xf>
    <xf numFmtId="164" fontId="27" fillId="0" borderId="1" xfId="3" applyNumberFormat="1" applyFont="1" applyFill="1" applyBorder="1"/>
    <xf numFmtId="164" fontId="27" fillId="0" borderId="5" xfId="1" applyNumberFormat="1" applyFont="1" applyBorder="1"/>
    <xf numFmtId="2" fontId="22" fillId="0" borderId="11" xfId="6" applyNumberFormat="1" applyFont="1" applyBorder="1" applyAlignment="1" applyProtection="1">
      <alignment horizontal="right" wrapText="1" readingOrder="1"/>
      <protection locked="0"/>
    </xf>
    <xf numFmtId="2" fontId="22" fillId="0" borderId="10" xfId="6" applyNumberFormat="1" applyFont="1" applyBorder="1" applyAlignment="1" applyProtection="1">
      <alignment horizontal="right" wrapText="1" readingOrder="1"/>
      <protection locked="0"/>
    </xf>
    <xf numFmtId="2" fontId="22" fillId="0" borderId="5" xfId="6" applyNumberFormat="1" applyFont="1" applyBorder="1" applyAlignment="1" applyProtection="1">
      <alignment wrapText="1" readingOrder="1"/>
      <protection locked="0"/>
    </xf>
    <xf numFmtId="2" fontId="22" fillId="0" borderId="10" xfId="6" applyNumberFormat="1" applyFont="1" applyBorder="1" applyAlignment="1" applyProtection="1">
      <alignment wrapText="1" readingOrder="1"/>
      <protection locked="0"/>
    </xf>
    <xf numFmtId="164" fontId="27" fillId="0" borderId="13" xfId="5" applyNumberFormat="1" applyFont="1" applyBorder="1"/>
    <xf numFmtId="2" fontId="22" fillId="0" borderId="19" xfId="6" applyNumberFormat="1" applyFont="1" applyBorder="1" applyAlignment="1" applyProtection="1">
      <alignment horizontal="right" wrapText="1" readingOrder="1"/>
      <protection locked="0"/>
    </xf>
    <xf numFmtId="2" fontId="22" fillId="0" borderId="13" xfId="6" applyNumberFormat="1" applyFont="1" applyBorder="1" applyAlignment="1" applyProtection="1">
      <alignment wrapText="1" readingOrder="1"/>
      <protection locked="0"/>
    </xf>
    <xf numFmtId="1" fontId="27" fillId="0" borderId="13" xfId="6" applyNumberFormat="1" applyFont="1" applyBorder="1"/>
    <xf numFmtId="164" fontId="27" fillId="0" borderId="13" xfId="1" applyNumberFormat="1" applyFont="1" applyBorder="1"/>
    <xf numFmtId="164" fontId="27" fillId="0" borderId="1" xfId="4" applyNumberFormat="1" applyFont="1" applyBorder="1"/>
    <xf numFmtId="164" fontId="22" fillId="0" borderId="1" xfId="6" applyNumberFormat="1" applyFont="1" applyBorder="1"/>
    <xf numFmtId="2" fontId="28" fillId="3" borderId="1" xfId="7" applyNumberFormat="1" applyFont="1" applyFill="1" applyBorder="1" applyAlignment="1">
      <alignment horizontal="center" vertical="center" wrapText="1"/>
    </xf>
    <xf numFmtId="164" fontId="28" fillId="3" borderId="1" xfId="6" applyNumberFormat="1" applyFont="1" applyFill="1" applyBorder="1" applyAlignment="1" applyProtection="1">
      <alignment horizontal="center" vertical="center" wrapText="1"/>
      <protection locked="0"/>
    </xf>
    <xf numFmtId="164" fontId="28" fillId="3" borderId="1" xfId="6" applyNumberFormat="1" applyFont="1" applyFill="1" applyBorder="1" applyAlignment="1">
      <alignment horizontal="center" vertical="center"/>
    </xf>
    <xf numFmtId="164" fontId="28" fillId="3" borderId="1" xfId="6" applyNumberFormat="1" applyFont="1" applyFill="1" applyBorder="1" applyAlignment="1" applyProtection="1">
      <alignment vertical="center" wrapText="1"/>
      <protection locked="0"/>
    </xf>
    <xf numFmtId="1" fontId="28" fillId="3" borderId="1" xfId="6" applyNumberFormat="1" applyFont="1" applyFill="1" applyBorder="1"/>
    <xf numFmtId="2" fontId="28" fillId="3" borderId="1" xfId="1" applyNumberFormat="1" applyFont="1" applyFill="1" applyBorder="1"/>
    <xf numFmtId="2" fontId="29" fillId="3" borderId="1" xfId="6" applyNumberFormat="1" applyFont="1" applyFill="1" applyBorder="1" applyAlignment="1" applyProtection="1">
      <alignment horizontal="right" wrapText="1" readingOrder="1"/>
      <protection locked="0"/>
    </xf>
    <xf numFmtId="2" fontId="29" fillId="3" borderId="1" xfId="6" applyNumberFormat="1" applyFont="1" applyFill="1" applyBorder="1" applyAlignment="1" applyProtection="1">
      <alignment horizontal="right" vertical="top" wrapText="1" readingOrder="1"/>
      <protection locked="0"/>
    </xf>
    <xf numFmtId="2" fontId="29" fillId="3" borderId="1" xfId="6" applyNumberFormat="1" applyFont="1" applyFill="1" applyBorder="1" applyAlignment="1" applyProtection="1">
      <alignment wrapText="1" readingOrder="1"/>
      <protection locked="0"/>
    </xf>
    <xf numFmtId="164" fontId="28" fillId="3" borderId="1" xfId="6" applyNumberFormat="1" applyFont="1" applyFill="1" applyBorder="1" applyAlignment="1" applyProtection="1">
      <alignment horizontal="right" wrapText="1" readingOrder="1"/>
      <protection locked="0"/>
    </xf>
    <xf numFmtId="1" fontId="28" fillId="3" borderId="13" xfId="6" applyNumberFormat="1" applyFont="1" applyFill="1" applyBorder="1"/>
    <xf numFmtId="164" fontId="28" fillId="3" borderId="13" xfId="5" applyNumberFormat="1" applyFont="1" applyFill="1" applyBorder="1"/>
    <xf numFmtId="2" fontId="29" fillId="3" borderId="15" xfId="6" applyNumberFormat="1" applyFont="1" applyFill="1" applyBorder="1" applyAlignment="1">
      <alignment readingOrder="1"/>
    </xf>
    <xf numFmtId="2" fontId="29" fillId="3" borderId="13" xfId="6" applyNumberFormat="1" applyFont="1" applyFill="1" applyBorder="1" applyAlignment="1">
      <alignment readingOrder="1"/>
    </xf>
    <xf numFmtId="2" fontId="28" fillId="3" borderId="1" xfId="6" applyNumberFormat="1" applyFont="1" applyFill="1" applyBorder="1" applyAlignment="1" applyProtection="1">
      <alignment horizontal="right" wrapText="1" readingOrder="1"/>
      <protection locked="0"/>
    </xf>
    <xf numFmtId="164" fontId="28" fillId="3" borderId="1" xfId="1" applyNumberFormat="1" applyFont="1" applyFill="1" applyBorder="1"/>
    <xf numFmtId="2" fontId="29" fillId="3" borderId="9" xfId="6" applyNumberFormat="1" applyFont="1" applyFill="1" applyBorder="1" applyAlignment="1" applyProtection="1">
      <alignment horizontal="right" wrapText="1" readingOrder="1"/>
      <protection locked="0"/>
    </xf>
    <xf numFmtId="2" fontId="29" fillId="3" borderId="7" xfId="6" applyNumberFormat="1" applyFont="1" applyFill="1" applyBorder="1" applyAlignment="1" applyProtection="1">
      <alignment horizontal="right" wrapText="1" readingOrder="1"/>
      <protection locked="0"/>
    </xf>
    <xf numFmtId="2" fontId="29" fillId="3" borderId="8" xfId="6" applyNumberFormat="1" applyFont="1" applyFill="1" applyBorder="1" applyAlignment="1" applyProtection="1">
      <alignment horizontal="right" wrapText="1" readingOrder="1"/>
      <protection locked="0"/>
    </xf>
    <xf numFmtId="2" fontId="29" fillId="3" borderId="8" xfId="6" applyNumberFormat="1" applyFont="1" applyFill="1" applyBorder="1" applyAlignment="1" applyProtection="1">
      <alignment wrapText="1" readingOrder="1"/>
      <protection locked="0"/>
    </xf>
    <xf numFmtId="2" fontId="29" fillId="3" borderId="1" xfId="6" applyNumberFormat="1" applyFont="1" applyFill="1" applyBorder="1" applyAlignment="1">
      <alignment readingOrder="1"/>
    </xf>
    <xf numFmtId="164" fontId="28" fillId="3" borderId="13" xfId="1" applyNumberFormat="1" applyFont="1" applyFill="1" applyBorder="1"/>
    <xf numFmtId="2" fontId="30" fillId="3" borderId="18" xfId="6" applyNumberFormat="1" applyFont="1" applyFill="1" applyBorder="1" applyAlignment="1" applyProtection="1">
      <alignment horizontal="right" wrapText="1" readingOrder="1"/>
      <protection locked="0"/>
    </xf>
    <xf numFmtId="2" fontId="30" fillId="3" borderId="6" xfId="6" applyNumberFormat="1" applyFont="1" applyFill="1" applyBorder="1" applyAlignment="1" applyProtection="1">
      <alignment horizontal="right" wrapText="1" readingOrder="1"/>
      <protection locked="0"/>
    </xf>
    <xf numFmtId="2" fontId="30" fillId="3" borderId="19" xfId="6" applyNumberFormat="1" applyFont="1" applyFill="1" applyBorder="1" applyAlignment="1" applyProtection="1">
      <alignment horizontal="right" wrapText="1" readingOrder="1"/>
      <protection locked="0"/>
    </xf>
    <xf numFmtId="2" fontId="29" fillId="3" borderId="13" xfId="6" applyNumberFormat="1" applyFont="1" applyFill="1" applyBorder="1" applyAlignment="1" applyProtection="1">
      <alignment wrapText="1" readingOrder="1"/>
      <protection locked="0"/>
    </xf>
    <xf numFmtId="2" fontId="30" fillId="3" borderId="19" xfId="6" applyNumberFormat="1" applyFont="1" applyFill="1" applyBorder="1" applyAlignment="1" applyProtection="1">
      <alignment wrapText="1" readingOrder="1"/>
      <protection locked="0"/>
    </xf>
    <xf numFmtId="2" fontId="30" fillId="3" borderId="13" xfId="6" applyNumberFormat="1" applyFont="1" applyFill="1" applyBorder="1" applyAlignment="1" applyProtection="1">
      <alignment horizontal="right" wrapText="1" readingOrder="1"/>
      <protection locked="0"/>
    </xf>
    <xf numFmtId="2" fontId="30" fillId="3" borderId="1" xfId="6" applyNumberFormat="1" applyFont="1" applyFill="1" applyBorder="1" applyAlignment="1" applyProtection="1">
      <alignment horizontal="right" wrapText="1" readingOrder="1"/>
      <protection locked="0"/>
    </xf>
    <xf numFmtId="2" fontId="30" fillId="3" borderId="1" xfId="6" applyNumberFormat="1" applyFont="1" applyFill="1" applyBorder="1" applyAlignment="1" applyProtection="1">
      <alignment wrapText="1" readingOrder="1"/>
      <protection locked="0"/>
    </xf>
    <xf numFmtId="2" fontId="29" fillId="3" borderId="18" xfId="6" applyNumberFormat="1" applyFont="1" applyFill="1" applyBorder="1" applyAlignment="1" applyProtection="1">
      <alignment horizontal="right" wrapText="1" readingOrder="1"/>
      <protection locked="0"/>
    </xf>
    <xf numFmtId="2" fontId="29" fillId="3" borderId="6" xfId="6" applyNumberFormat="1" applyFont="1" applyFill="1" applyBorder="1" applyAlignment="1" applyProtection="1">
      <alignment horizontal="right" wrapText="1" readingOrder="1"/>
      <protection locked="0"/>
    </xf>
    <xf numFmtId="2" fontId="29" fillId="3" borderId="19" xfId="6" applyNumberFormat="1" applyFont="1" applyFill="1" applyBorder="1" applyAlignment="1" applyProtection="1">
      <alignment horizontal="right" wrapText="1" readingOrder="1"/>
      <protection locked="0"/>
    </xf>
    <xf numFmtId="2" fontId="29" fillId="3" borderId="19" xfId="6" applyNumberFormat="1" applyFont="1" applyFill="1" applyBorder="1" applyAlignment="1" applyProtection="1">
      <alignment wrapText="1" readingOrder="1"/>
      <protection locked="0"/>
    </xf>
    <xf numFmtId="2" fontId="29" fillId="3" borderId="13" xfId="6" applyNumberFormat="1" applyFont="1" applyFill="1" applyBorder="1" applyAlignment="1" applyProtection="1">
      <alignment horizontal="right" wrapText="1" readingOrder="1"/>
      <protection locked="0"/>
    </xf>
    <xf numFmtId="1" fontId="28" fillId="3" borderId="5" xfId="6" applyNumberFormat="1" applyFont="1" applyFill="1" applyBorder="1"/>
    <xf numFmtId="164" fontId="28" fillId="3" borderId="5" xfId="3" applyNumberFormat="1" applyFont="1" applyFill="1" applyBorder="1"/>
    <xf numFmtId="2" fontId="29" fillId="3" borderId="11" xfId="6" applyNumberFormat="1" applyFont="1" applyFill="1" applyBorder="1" applyAlignment="1" applyProtection="1">
      <alignment horizontal="right" wrapText="1" readingOrder="1"/>
      <protection locked="0"/>
    </xf>
    <xf numFmtId="2" fontId="29" fillId="3" borderId="16" xfId="6" applyNumberFormat="1" applyFont="1" applyFill="1" applyBorder="1" applyAlignment="1" applyProtection="1">
      <alignment horizontal="right" wrapText="1" readingOrder="1"/>
      <protection locked="0"/>
    </xf>
    <xf numFmtId="2" fontId="29" fillId="3" borderId="10" xfId="6" applyNumberFormat="1" applyFont="1" applyFill="1" applyBorder="1" applyAlignment="1" applyProtection="1">
      <alignment horizontal="right" wrapText="1" readingOrder="1"/>
      <protection locked="0"/>
    </xf>
    <xf numFmtId="2" fontId="29" fillId="3" borderId="5" xfId="6" applyNumberFormat="1" applyFont="1" applyFill="1" applyBorder="1" applyAlignment="1" applyProtection="1">
      <alignment wrapText="1" readingOrder="1"/>
      <protection locked="0"/>
    </xf>
    <xf numFmtId="2" fontId="29" fillId="3" borderId="10" xfId="6" applyNumberFormat="1" applyFont="1" applyFill="1" applyBorder="1" applyAlignment="1" applyProtection="1">
      <alignment wrapText="1" readingOrder="1"/>
      <protection locked="0"/>
    </xf>
    <xf numFmtId="2" fontId="29" fillId="3" borderId="5" xfId="6" applyNumberFormat="1" applyFont="1" applyFill="1" applyBorder="1" applyAlignment="1" applyProtection="1">
      <alignment horizontal="right" wrapText="1" readingOrder="1"/>
      <protection locked="0"/>
    </xf>
    <xf numFmtId="164" fontId="28" fillId="3" borderId="1" xfId="5" applyNumberFormat="1" applyFont="1" applyFill="1" applyBorder="1"/>
    <xf numFmtId="2" fontId="29" fillId="3" borderId="4" xfId="6" applyNumberFormat="1" applyFont="1" applyFill="1" applyBorder="1" applyAlignment="1">
      <alignment readingOrder="1"/>
    </xf>
    <xf numFmtId="164" fontId="28" fillId="3" borderId="1" xfId="4" applyNumberFormat="1" applyFont="1" applyFill="1" applyBorder="1"/>
    <xf numFmtId="164" fontId="29" fillId="3" borderId="1" xfId="6" applyNumberFormat="1" applyFont="1" applyFill="1" applyBorder="1"/>
    <xf numFmtId="164" fontId="28" fillId="3" borderId="1" xfId="6" applyNumberFormat="1" applyFont="1" applyFill="1" applyBorder="1" applyAlignment="1" applyProtection="1">
      <alignment wrapText="1" readingOrder="1"/>
      <protection locked="0"/>
    </xf>
    <xf numFmtId="2" fontId="5" fillId="6" borderId="1" xfId="0" applyNumberFormat="1" applyFont="1" applyFill="1" applyBorder="1"/>
    <xf numFmtId="2" fontId="2" fillId="2" borderId="3" xfId="0" applyNumberFormat="1" applyFont="1" applyFill="1" applyBorder="1" applyAlignment="1">
      <alignment horizontal="center"/>
    </xf>
    <xf numFmtId="2" fontId="8" fillId="6" borderId="1" xfId="0" applyNumberFormat="1" applyFont="1" applyFill="1" applyBorder="1"/>
    <xf numFmtId="2" fontId="2" fillId="2" borderId="2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2" fontId="2" fillId="3" borderId="4" xfId="0" applyNumberFormat="1" applyFont="1" applyFill="1" applyBorder="1" applyAlignment="1">
      <alignment horizontal="center"/>
    </xf>
    <xf numFmtId="164" fontId="8" fillId="3" borderId="3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0" fillId="5" borderId="11" xfId="0" applyFont="1" applyFill="1" applyBorder="1" applyAlignment="1" applyProtection="1">
      <alignment horizontal="center" vertical="top" wrapText="1" readingOrder="1"/>
      <protection locked="0"/>
    </xf>
    <xf numFmtId="2" fontId="15" fillId="0" borderId="12" xfId="6" applyNumberFormat="1" applyFont="1" applyBorder="1" applyAlignment="1" applyProtection="1">
      <alignment horizontal="center" vertical="top" wrapText="1" readingOrder="1"/>
      <protection locked="0"/>
    </xf>
    <xf numFmtId="164" fontId="15" fillId="3" borderId="12" xfId="6" applyNumberFormat="1" applyFont="1" applyFill="1" applyBorder="1" applyAlignment="1" applyProtection="1">
      <alignment horizontal="center" vertical="top" wrapText="1" readingOrder="1"/>
      <protection locked="0"/>
    </xf>
    <xf numFmtId="164" fontId="20" fillId="3" borderId="12" xfId="6" applyNumberFormat="1" applyFont="1" applyFill="1" applyBorder="1" applyAlignment="1" applyProtection="1">
      <alignment horizontal="center" vertical="top" wrapText="1" readingOrder="1"/>
      <protection locked="0"/>
    </xf>
    <xf numFmtId="164" fontId="27" fillId="3" borderId="12" xfId="6" applyNumberFormat="1" applyFont="1" applyFill="1" applyBorder="1" applyAlignment="1" applyProtection="1">
      <alignment horizontal="center" vertical="center" wrapText="1"/>
      <protection locked="0"/>
    </xf>
    <xf numFmtId="164" fontId="27" fillId="0" borderId="12" xfId="6" applyNumberFormat="1" applyFont="1" applyBorder="1" applyAlignment="1" applyProtection="1">
      <alignment horizontal="center" vertical="center" wrapText="1"/>
      <protection locked="0"/>
    </xf>
    <xf numFmtId="2" fontId="5" fillId="0" borderId="1" xfId="0" applyNumberFormat="1" applyFont="1" applyBorder="1"/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wrapText="1"/>
    </xf>
    <xf numFmtId="165" fontId="2" fillId="0" borderId="1" xfId="1" applyNumberFormat="1" applyFont="1" applyBorder="1"/>
    <xf numFmtId="0" fontId="3" fillId="6" borderId="1" xfId="0" applyFont="1" applyFill="1" applyBorder="1"/>
    <xf numFmtId="2" fontId="3" fillId="6" borderId="1" xfId="0" applyNumberFormat="1" applyFont="1" applyFill="1" applyBorder="1"/>
    <xf numFmtId="2" fontId="5" fillId="7" borderId="1" xfId="0" applyNumberFormat="1" applyFont="1" applyFill="1" applyBorder="1"/>
    <xf numFmtId="2" fontId="5" fillId="8" borderId="1" xfId="0" applyNumberFormat="1" applyFont="1" applyFill="1" applyBorder="1"/>
    <xf numFmtId="2" fontId="2" fillId="0" borderId="2" xfId="1" applyNumberFormat="1" applyFont="1" applyBorder="1"/>
    <xf numFmtId="2" fontId="2" fillId="0" borderId="0" xfId="0" applyNumberFormat="1" applyFont="1"/>
    <xf numFmtId="2" fontId="5" fillId="0" borderId="0" xfId="0" applyNumberFormat="1" applyFont="1"/>
    <xf numFmtId="164" fontId="8" fillId="0" borderId="1" xfId="1" applyNumberFormat="1" applyFont="1" applyBorder="1"/>
    <xf numFmtId="2" fontId="8" fillId="0" borderId="1" xfId="0" applyNumberFormat="1" applyFont="1" applyBorder="1"/>
    <xf numFmtId="0" fontId="2" fillId="0" borderId="0" xfId="0" applyFont="1"/>
    <xf numFmtId="164" fontId="9" fillId="0" borderId="0" xfId="0" applyNumberFormat="1" applyFont="1"/>
    <xf numFmtId="0" fontId="10" fillId="0" borderId="7" xfId="0" applyFont="1" applyBorder="1" applyAlignment="1" applyProtection="1">
      <alignment vertical="top" wrapText="1" readingOrder="1"/>
      <protection locked="0"/>
    </xf>
    <xf numFmtId="2" fontId="10" fillId="0" borderId="7" xfId="0" applyNumberFormat="1" applyFont="1" applyBorder="1" applyAlignment="1" applyProtection="1">
      <alignment horizontal="right" vertical="top" wrapText="1" readingOrder="1"/>
      <protection locked="0"/>
    </xf>
    <xf numFmtId="2" fontId="14" fillId="0" borderId="0" xfId="0" applyNumberFormat="1" applyFont="1"/>
    <xf numFmtId="0" fontId="9" fillId="0" borderId="0" xfId="0" applyFont="1"/>
    <xf numFmtId="2" fontId="9" fillId="0" borderId="0" xfId="0" applyNumberFormat="1" applyFont="1"/>
    <xf numFmtId="0" fontId="9" fillId="3" borderId="0" xfId="0" applyFont="1" applyFill="1" applyAlignment="1" applyProtection="1">
      <alignment vertical="top" wrapText="1"/>
      <protection locked="0"/>
    </xf>
    <xf numFmtId="2" fontId="9" fillId="3" borderId="0" xfId="0" applyNumberFormat="1" applyFont="1" applyFill="1" applyAlignment="1" applyProtection="1">
      <alignment vertical="top" wrapText="1"/>
      <protection locked="0"/>
    </xf>
    <xf numFmtId="2" fontId="11" fillId="3" borderId="12" xfId="0" applyNumberFormat="1" applyFont="1" applyFill="1" applyBorder="1" applyAlignment="1" applyProtection="1">
      <alignment horizontal="right" vertical="top" wrapText="1" readingOrder="1"/>
      <protection locked="0"/>
    </xf>
    <xf numFmtId="0" fontId="10" fillId="5" borderId="0" xfId="0" applyFont="1" applyFill="1" applyAlignment="1" applyProtection="1">
      <alignment horizontal="center" vertical="top" wrapText="1" readingOrder="1"/>
      <protection locked="0"/>
    </xf>
    <xf numFmtId="2" fontId="11" fillId="3" borderId="0" xfId="0" applyNumberFormat="1" applyFont="1" applyFill="1" applyAlignment="1" applyProtection="1">
      <alignment horizontal="right" vertical="top" wrapText="1" readingOrder="1"/>
      <protection locked="0"/>
    </xf>
    <xf numFmtId="2" fontId="15" fillId="0" borderId="9" xfId="6" applyNumberFormat="1" applyFont="1" applyBorder="1" applyAlignment="1" applyProtection="1">
      <alignment vertical="top" wrapText="1" readingOrder="1"/>
      <protection locked="0"/>
    </xf>
    <xf numFmtId="2" fontId="15" fillId="0" borderId="7" xfId="6" applyNumberFormat="1" applyFont="1" applyBorder="1" applyAlignment="1" applyProtection="1">
      <alignment horizontal="right" vertical="top" wrapText="1" readingOrder="1"/>
      <protection locked="0"/>
    </xf>
    <xf numFmtId="2" fontId="15" fillId="0" borderId="0" xfId="6" applyNumberFormat="1" applyFont="1" applyAlignment="1" applyProtection="1">
      <alignment horizontal="center" vertical="top" wrapText="1" readingOrder="1"/>
      <protection locked="0"/>
    </xf>
    <xf numFmtId="2" fontId="16" fillId="0" borderId="0" xfId="6" applyNumberFormat="1" applyFont="1" applyAlignment="1" applyProtection="1">
      <alignment horizontal="right" vertical="top" wrapText="1" readingOrder="1"/>
      <protection locked="0"/>
    </xf>
    <xf numFmtId="2" fontId="13" fillId="0" borderId="0" xfId="6" applyNumberFormat="1" applyFont="1" applyAlignment="1" applyProtection="1">
      <alignment vertical="top" wrapText="1"/>
      <protection locked="0"/>
    </xf>
    <xf numFmtId="2" fontId="16" fillId="0" borderId="12" xfId="6" applyNumberFormat="1" applyFont="1" applyBorder="1" applyAlignment="1" applyProtection="1">
      <alignment horizontal="right" vertical="top" wrapText="1" readingOrder="1"/>
      <protection locked="0"/>
    </xf>
    <xf numFmtId="164" fontId="15" fillId="0" borderId="1" xfId="6" applyNumberFormat="1" applyFont="1" applyBorder="1" applyAlignment="1" applyProtection="1">
      <alignment vertical="top" wrapText="1" readingOrder="1"/>
      <protection locked="0"/>
    </xf>
    <xf numFmtId="2" fontId="0" fillId="0" borderId="0" xfId="0" applyNumberFormat="1"/>
    <xf numFmtId="2" fontId="13" fillId="3" borderId="0" xfId="6" applyNumberFormat="1" applyFont="1" applyFill="1" applyAlignment="1" applyProtection="1">
      <alignment vertical="top" wrapText="1"/>
      <protection locked="0"/>
    </xf>
    <xf numFmtId="2" fontId="16" fillId="3" borderId="0" xfId="6" applyNumberFormat="1" applyFont="1" applyFill="1" applyAlignment="1" applyProtection="1">
      <alignment vertical="top" wrapText="1" readingOrder="1"/>
      <protection locked="0"/>
    </xf>
    <xf numFmtId="2" fontId="16" fillId="3" borderId="0" xfId="6" applyNumberFormat="1" applyFont="1" applyFill="1" applyAlignment="1" applyProtection="1">
      <alignment horizontal="right" vertical="top" wrapText="1" readingOrder="1"/>
      <protection locked="0"/>
    </xf>
    <xf numFmtId="164" fontId="15" fillId="3" borderId="0" xfId="6" applyNumberFormat="1" applyFont="1" applyFill="1" applyAlignment="1" applyProtection="1">
      <alignment horizontal="center" vertical="top" wrapText="1" readingOrder="1"/>
      <protection locked="0"/>
    </xf>
    <xf numFmtId="164" fontId="20" fillId="0" borderId="18" xfId="6" applyNumberFormat="1" applyFont="1" applyBorder="1" applyAlignment="1" applyProtection="1">
      <alignment vertical="top" wrapText="1" readingOrder="1"/>
      <protection locked="0"/>
    </xf>
    <xf numFmtId="2" fontId="26" fillId="0" borderId="7" xfId="6" applyNumberFormat="1" applyFont="1" applyBorder="1" applyAlignment="1" applyProtection="1">
      <alignment horizontal="right" wrapText="1" readingOrder="1"/>
      <protection locked="0"/>
    </xf>
    <xf numFmtId="2" fontId="22" fillId="3" borderId="0" xfId="6" applyNumberFormat="1" applyFont="1" applyFill="1" applyAlignment="1" applyProtection="1">
      <alignment wrapText="1" readingOrder="1"/>
      <protection locked="0"/>
    </xf>
    <xf numFmtId="2" fontId="21" fillId="3" borderId="0" xfId="6" applyNumberFormat="1" applyFont="1" applyFill="1" applyAlignment="1" applyProtection="1">
      <alignment wrapText="1" readingOrder="1"/>
      <protection locked="0"/>
    </xf>
    <xf numFmtId="2" fontId="21" fillId="3" borderId="0" xfId="6" applyNumberFormat="1" applyFont="1" applyFill="1" applyAlignment="1" applyProtection="1">
      <alignment horizontal="right" wrapText="1" readingOrder="1"/>
      <protection locked="0"/>
    </xf>
    <xf numFmtId="164" fontId="20" fillId="3" borderId="0" xfId="6" applyNumberFormat="1" applyFont="1" applyFill="1" applyAlignment="1" applyProtection="1">
      <alignment horizontal="center" vertical="top" wrapText="1" readingOrder="1"/>
      <protection locked="0"/>
    </xf>
    <xf numFmtId="164" fontId="27" fillId="0" borderId="18" xfId="6" applyNumberFormat="1" applyFont="1" applyBorder="1" applyAlignment="1" applyProtection="1">
      <alignment vertical="top" wrapText="1" readingOrder="1"/>
      <protection locked="0"/>
    </xf>
    <xf numFmtId="2" fontId="27" fillId="0" borderId="7" xfId="6" applyNumberFormat="1" applyFont="1" applyBorder="1" applyAlignment="1" applyProtection="1">
      <alignment horizontal="right" wrapText="1" readingOrder="1"/>
      <protection locked="0"/>
    </xf>
    <xf numFmtId="2" fontId="22" fillId="3" borderId="0" xfId="6" applyNumberFormat="1" applyFont="1" applyFill="1" applyAlignment="1" applyProtection="1">
      <alignment horizontal="right" wrapText="1" readingOrder="1"/>
      <protection locked="0"/>
    </xf>
    <xf numFmtId="164" fontId="27" fillId="3" borderId="0" xfId="6" applyNumberFormat="1" applyFont="1" applyFill="1" applyAlignment="1" applyProtection="1">
      <alignment horizontal="center" vertical="center" wrapText="1"/>
      <protection locked="0"/>
    </xf>
    <xf numFmtId="2" fontId="22" fillId="0" borderId="0" xfId="6" applyNumberFormat="1" applyFont="1" applyAlignment="1" applyProtection="1">
      <alignment wrapText="1" readingOrder="1"/>
      <protection locked="0"/>
    </xf>
    <xf numFmtId="2" fontId="22" fillId="0" borderId="0" xfId="6" applyNumberFormat="1" applyFont="1" applyAlignment="1" applyProtection="1">
      <alignment horizontal="right" wrapText="1" readingOrder="1"/>
      <protection locked="0"/>
    </xf>
    <xf numFmtId="164" fontId="27" fillId="0" borderId="0" xfId="6" applyNumberFormat="1" applyFont="1" applyAlignment="1" applyProtection="1">
      <alignment horizontal="center" vertical="center" wrapText="1"/>
      <protection locked="0"/>
    </xf>
    <xf numFmtId="2" fontId="28" fillId="0" borderId="1" xfId="6" applyNumberFormat="1" applyFont="1" applyBorder="1" applyAlignment="1" applyProtection="1">
      <alignment horizontal="right" wrapText="1" readingOrder="1"/>
      <protection locked="0"/>
    </xf>
    <xf numFmtId="2" fontId="29" fillId="3" borderId="0" xfId="6" applyNumberFormat="1" applyFont="1" applyFill="1" applyAlignment="1" applyProtection="1">
      <alignment wrapText="1" readingOrder="1"/>
      <protection locked="0"/>
    </xf>
    <xf numFmtId="164" fontId="9" fillId="6" borderId="0" xfId="0" applyNumberFormat="1" applyFont="1" applyFill="1"/>
    <xf numFmtId="2" fontId="9" fillId="6" borderId="0" xfId="0" applyNumberFormat="1" applyFont="1" applyFill="1"/>
    <xf numFmtId="2" fontId="13" fillId="6" borderId="0" xfId="6" applyNumberFormat="1" applyFont="1" applyFill="1"/>
    <xf numFmtId="2" fontId="0" fillId="6" borderId="0" xfId="0" applyNumberFormat="1" applyFill="1"/>
    <xf numFmtId="164" fontId="28" fillId="3" borderId="1" xfId="6" applyNumberFormat="1" applyFont="1" applyFill="1" applyBorder="1" applyAlignment="1" applyProtection="1">
      <alignment horizontal="center" vertical="center" wrapText="1"/>
      <protection locked="0"/>
    </xf>
    <xf numFmtId="2" fontId="2" fillId="2" borderId="1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2" fontId="2" fillId="3" borderId="4" xfId="0" applyNumberFormat="1" applyFont="1" applyFill="1" applyBorder="1" applyAlignment="1">
      <alignment horizontal="center"/>
    </xf>
    <xf numFmtId="164" fontId="8" fillId="3" borderId="2" xfId="0" applyNumberFormat="1" applyFont="1" applyFill="1" applyBorder="1" applyAlignment="1">
      <alignment horizontal="center"/>
    </xf>
    <xf numFmtId="164" fontId="8" fillId="3" borderId="3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0" fontId="10" fillId="5" borderId="8" xfId="0" applyFont="1" applyFill="1" applyBorder="1" applyAlignment="1" applyProtection="1">
      <alignment horizontal="center" vertical="top" wrapText="1" readingOrder="1"/>
      <protection locked="0"/>
    </xf>
    <xf numFmtId="0" fontId="10" fillId="5" borderId="9" xfId="0" applyFont="1" applyFill="1" applyBorder="1" applyAlignment="1" applyProtection="1">
      <alignment horizontal="center" vertical="top" wrapText="1" readingOrder="1"/>
      <protection locked="0"/>
    </xf>
    <xf numFmtId="0" fontId="10" fillId="5" borderId="10" xfId="0" applyFont="1" applyFill="1" applyBorder="1" applyAlignment="1" applyProtection="1">
      <alignment horizontal="center" vertical="top" wrapText="1" readingOrder="1"/>
      <protection locked="0"/>
    </xf>
    <xf numFmtId="0" fontId="10" fillId="5" borderId="11" xfId="0" applyFont="1" applyFill="1" applyBorder="1" applyAlignment="1" applyProtection="1">
      <alignment horizontal="center" vertical="top" wrapText="1" readingOrder="1"/>
      <protection locked="0"/>
    </xf>
    <xf numFmtId="0" fontId="10" fillId="5" borderId="1" xfId="0" applyFont="1" applyFill="1" applyBorder="1" applyAlignment="1" applyProtection="1">
      <alignment horizontal="center" vertical="top" wrapText="1" readingOrder="1"/>
      <protection locked="0"/>
    </xf>
    <xf numFmtId="0" fontId="10" fillId="5" borderId="12" xfId="0" applyFont="1" applyFill="1" applyBorder="1" applyAlignment="1" applyProtection="1">
      <alignment horizontal="center" vertical="top" wrapText="1" readingOrder="1"/>
      <protection locked="0"/>
    </xf>
    <xf numFmtId="2" fontId="15" fillId="0" borderId="8" xfId="6" applyNumberFormat="1" applyFont="1" applyBorder="1" applyAlignment="1" applyProtection="1">
      <alignment horizontal="center" vertical="top" wrapText="1" readingOrder="1"/>
      <protection locked="0"/>
    </xf>
    <xf numFmtId="2" fontId="15" fillId="0" borderId="12" xfId="6" applyNumberFormat="1" applyFont="1" applyBorder="1" applyAlignment="1" applyProtection="1">
      <alignment horizontal="center" vertical="top" wrapText="1" readingOrder="1"/>
      <protection locked="0"/>
    </xf>
    <xf numFmtId="2" fontId="15" fillId="0" borderId="9" xfId="6" applyNumberFormat="1" applyFont="1" applyBorder="1" applyAlignment="1" applyProtection="1">
      <alignment horizontal="center" vertical="top" wrapText="1" readingOrder="1"/>
      <protection locked="0"/>
    </xf>
    <xf numFmtId="2" fontId="12" fillId="0" borderId="1" xfId="6" applyNumberFormat="1" applyFont="1" applyBorder="1" applyAlignment="1">
      <alignment horizontal="center" vertical="top"/>
    </xf>
    <xf numFmtId="2" fontId="15" fillId="0" borderId="1" xfId="6" applyNumberFormat="1" applyFont="1" applyBorder="1" applyAlignment="1" applyProtection="1">
      <alignment horizontal="center" vertical="top" wrapText="1" readingOrder="1"/>
      <protection locked="0"/>
    </xf>
    <xf numFmtId="2" fontId="15" fillId="0" borderId="2" xfId="6" applyNumberFormat="1" applyFont="1" applyBorder="1" applyAlignment="1" applyProtection="1">
      <alignment horizontal="center" vertical="top" wrapText="1" readingOrder="1"/>
      <protection locked="0"/>
    </xf>
    <xf numFmtId="2" fontId="15" fillId="0" borderId="3" xfId="6" applyNumberFormat="1" applyFont="1" applyBorder="1" applyAlignment="1" applyProtection="1">
      <alignment horizontal="center" vertical="top" wrapText="1" readingOrder="1"/>
      <protection locked="0"/>
    </xf>
    <xf numFmtId="2" fontId="15" fillId="0" borderId="4" xfId="6" applyNumberFormat="1" applyFont="1" applyBorder="1" applyAlignment="1" applyProtection="1">
      <alignment horizontal="center" vertical="top" wrapText="1" readingOrder="1"/>
      <protection locked="0"/>
    </xf>
    <xf numFmtId="2" fontId="15" fillId="0" borderId="14" xfId="6" applyNumberFormat="1" applyFont="1" applyBorder="1" applyAlignment="1" applyProtection="1">
      <alignment horizontal="center" vertical="top" wrapText="1" readingOrder="1"/>
      <protection locked="0"/>
    </xf>
    <xf numFmtId="164" fontId="15" fillId="3" borderId="12" xfId="6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9" xfId="6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8" xfId="6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1" xfId="6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14" xfId="6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2" xfId="6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3" xfId="6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4" xfId="6" applyNumberFormat="1" applyFont="1" applyFill="1" applyBorder="1" applyAlignment="1" applyProtection="1">
      <alignment horizontal="center" vertical="top" wrapText="1" readingOrder="1"/>
      <protection locked="0"/>
    </xf>
    <xf numFmtId="164" fontId="20" fillId="3" borderId="12" xfId="6" applyNumberFormat="1" applyFont="1" applyFill="1" applyBorder="1" applyAlignment="1" applyProtection="1">
      <alignment horizontal="center" vertical="top" wrapText="1" readingOrder="1"/>
      <protection locked="0"/>
    </xf>
    <xf numFmtId="164" fontId="20" fillId="3" borderId="9" xfId="6" applyNumberFormat="1" applyFont="1" applyFill="1" applyBorder="1" applyAlignment="1" applyProtection="1">
      <alignment horizontal="center" vertical="top" wrapText="1" readingOrder="1"/>
      <protection locked="0"/>
    </xf>
    <xf numFmtId="164" fontId="20" fillId="3" borderId="8" xfId="6" applyNumberFormat="1" applyFont="1" applyFill="1" applyBorder="1" applyAlignment="1" applyProtection="1">
      <alignment horizontal="center" vertical="top" wrapText="1" readingOrder="1"/>
      <protection locked="0"/>
    </xf>
    <xf numFmtId="164" fontId="20" fillId="3" borderId="1" xfId="6" applyNumberFormat="1" applyFont="1" applyFill="1" applyBorder="1" applyAlignment="1" applyProtection="1">
      <alignment horizontal="center" vertical="top" wrapText="1" readingOrder="1"/>
      <protection locked="0"/>
    </xf>
    <xf numFmtId="164" fontId="20" fillId="3" borderId="14" xfId="6" applyNumberFormat="1" applyFont="1" applyFill="1" applyBorder="1" applyAlignment="1" applyProtection="1">
      <alignment horizontal="center" vertical="top" wrapText="1" readingOrder="1"/>
      <protection locked="0"/>
    </xf>
    <xf numFmtId="164" fontId="20" fillId="3" borderId="2" xfId="6" applyNumberFormat="1" applyFont="1" applyFill="1" applyBorder="1" applyAlignment="1" applyProtection="1">
      <alignment horizontal="center" vertical="top" wrapText="1" readingOrder="1"/>
      <protection locked="0"/>
    </xf>
    <xf numFmtId="164" fontId="20" fillId="3" borderId="3" xfId="6" applyNumberFormat="1" applyFont="1" applyFill="1" applyBorder="1" applyAlignment="1" applyProtection="1">
      <alignment horizontal="center" vertical="top" wrapText="1" readingOrder="1"/>
      <protection locked="0"/>
    </xf>
    <xf numFmtId="164" fontId="20" fillId="3" borderId="4" xfId="6" applyNumberFormat="1" applyFont="1" applyFill="1" applyBorder="1" applyAlignment="1" applyProtection="1">
      <alignment horizontal="center" vertical="top" wrapText="1" readingOrder="1"/>
      <protection locked="0"/>
    </xf>
    <xf numFmtId="164" fontId="27" fillId="3" borderId="12" xfId="6" applyNumberFormat="1" applyFont="1" applyFill="1" applyBorder="1" applyAlignment="1" applyProtection="1">
      <alignment horizontal="center" vertical="center" wrapText="1"/>
      <protection locked="0"/>
    </xf>
    <xf numFmtId="164" fontId="27" fillId="3" borderId="9" xfId="6" applyNumberFormat="1" applyFont="1" applyFill="1" applyBorder="1" applyAlignment="1" applyProtection="1">
      <alignment horizontal="center" vertical="center" wrapText="1"/>
      <protection locked="0"/>
    </xf>
    <xf numFmtId="164" fontId="27" fillId="3" borderId="8" xfId="6" applyNumberFormat="1" applyFont="1" applyFill="1" applyBorder="1" applyAlignment="1" applyProtection="1">
      <alignment horizontal="center" vertical="center" wrapText="1"/>
      <protection locked="0"/>
    </xf>
    <xf numFmtId="164" fontId="27" fillId="3" borderId="1" xfId="6" applyNumberFormat="1" applyFont="1" applyFill="1" applyBorder="1" applyAlignment="1" applyProtection="1">
      <alignment horizontal="center" vertical="center" wrapText="1"/>
      <protection locked="0"/>
    </xf>
    <xf numFmtId="164" fontId="27" fillId="3" borderId="14" xfId="6" applyNumberFormat="1" applyFont="1" applyFill="1" applyBorder="1" applyAlignment="1" applyProtection="1">
      <alignment horizontal="center" vertical="center" wrapText="1"/>
      <protection locked="0"/>
    </xf>
    <xf numFmtId="164" fontId="27" fillId="3" borderId="2" xfId="6" applyNumberFormat="1" applyFont="1" applyFill="1" applyBorder="1" applyAlignment="1" applyProtection="1">
      <alignment horizontal="center" vertical="center" wrapText="1"/>
      <protection locked="0"/>
    </xf>
    <xf numFmtId="164" fontId="27" fillId="3" borderId="3" xfId="6" applyNumberFormat="1" applyFont="1" applyFill="1" applyBorder="1" applyAlignment="1" applyProtection="1">
      <alignment horizontal="center" vertical="center" wrapText="1"/>
      <protection locked="0"/>
    </xf>
    <xf numFmtId="164" fontId="27" fillId="3" borderId="4" xfId="6" applyNumberFormat="1" applyFont="1" applyFill="1" applyBorder="1" applyAlignment="1" applyProtection="1">
      <alignment horizontal="center" vertical="center" wrapText="1"/>
      <protection locked="0"/>
    </xf>
    <xf numFmtId="164" fontId="27" fillId="0" borderId="12" xfId="6" applyNumberFormat="1" applyFont="1" applyBorder="1" applyAlignment="1" applyProtection="1">
      <alignment horizontal="center" vertical="center" wrapText="1"/>
      <protection locked="0"/>
    </xf>
    <xf numFmtId="164" fontId="27" fillId="0" borderId="9" xfId="6" applyNumberFormat="1" applyFont="1" applyBorder="1" applyAlignment="1" applyProtection="1">
      <alignment horizontal="center" vertical="center" wrapText="1"/>
      <protection locked="0"/>
    </xf>
    <xf numFmtId="164" fontId="27" fillId="0" borderId="8" xfId="6" applyNumberFormat="1" applyFont="1" applyBorder="1" applyAlignment="1" applyProtection="1">
      <alignment horizontal="center" vertical="center" wrapText="1"/>
      <protection locked="0"/>
    </xf>
    <xf numFmtId="164" fontId="27" fillId="0" borderId="1" xfId="6" applyNumberFormat="1" applyFont="1" applyBorder="1" applyAlignment="1" applyProtection="1">
      <alignment horizontal="center" vertical="center" wrapText="1"/>
      <protection locked="0"/>
    </xf>
    <xf numFmtId="164" fontId="27" fillId="0" borderId="14" xfId="6" applyNumberFormat="1" applyFont="1" applyBorder="1" applyAlignment="1" applyProtection="1">
      <alignment horizontal="center" vertical="center" wrapText="1"/>
      <protection locked="0"/>
    </xf>
    <xf numFmtId="164" fontId="27" fillId="0" borderId="2" xfId="6" applyNumberFormat="1" applyFont="1" applyBorder="1" applyAlignment="1" applyProtection="1">
      <alignment horizontal="center" vertical="center" wrapText="1"/>
      <protection locked="0"/>
    </xf>
    <xf numFmtId="164" fontId="27" fillId="0" borderId="3" xfId="6" applyNumberFormat="1" applyFont="1" applyBorder="1" applyAlignment="1" applyProtection="1">
      <alignment horizontal="center" vertical="center" wrapText="1"/>
      <protection locked="0"/>
    </xf>
    <xf numFmtId="164" fontId="27" fillId="0" borderId="4" xfId="6" applyNumberFormat="1" applyFont="1" applyBorder="1" applyAlignment="1" applyProtection="1">
      <alignment horizontal="center" vertical="center" wrapText="1"/>
      <protection locked="0"/>
    </xf>
  </cellXfs>
  <cellStyles count="8">
    <cellStyle name="Normal" xfId="0" builtinId="0"/>
    <cellStyle name="Normal 10" xfId="1" xr:uid="{FF2E7B29-CEC5-421E-8DC2-132A1343714B}"/>
    <cellStyle name="Normal 15" xfId="7" xr:uid="{329DCE37-8D0B-46B4-B69B-9BCF87EFFEF9}"/>
    <cellStyle name="Normal 2" xfId="6" xr:uid="{1A3E6A68-157C-4D03-8C1F-0D9C8D570DE7}"/>
    <cellStyle name="Normal 7" xfId="2" xr:uid="{6577200E-A853-40EE-B55E-198902AD0BF7}"/>
    <cellStyle name="Normal 7 6" xfId="5" xr:uid="{EDC51DB7-B70A-4250-8E6F-5FE9BD211E23}"/>
    <cellStyle name="Normal_08-09(1)" xfId="4" xr:uid="{3B99FF47-E2A0-43D1-A273-E0569F50EC4D}"/>
    <cellStyle name="Percent 2" xfId="3" xr:uid="{E5319473-B5F1-41C0-8FA2-F57A2A3BF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%20Games\2016-17_%20Final%20Estimates.xls" TargetMode="External"/><Relationship Id="rId1" Type="http://schemas.openxmlformats.org/officeDocument/2006/relationships/externalLinkPath" Target="file:///D:\Download%20Games\2016-17_%20Final%20Estim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Horticulture"/>
      <sheetName val="Fruits 2016-17(Final)"/>
      <sheetName val=" Citrus 2016-17Final)"/>
      <sheetName val="Vegetables 2016-17(Final)"/>
      <sheetName val="Plantation 2016-17(Final)"/>
      <sheetName val="Spices 2016-17(Final)"/>
      <sheetName val="Flowers 2016-17(Final)"/>
      <sheetName val="UT's 2016-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92">
          <cell r="P92">
            <v>3.8999999999999999E-4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P95">
            <v>0</v>
          </cell>
        </row>
        <row r="96">
          <cell r="P96">
            <v>0.48609999999999998</v>
          </cell>
        </row>
        <row r="97">
          <cell r="P97">
            <v>0</v>
          </cell>
        </row>
        <row r="98">
          <cell r="P98">
            <v>0.42144999999999999</v>
          </cell>
        </row>
        <row r="99">
          <cell r="P99">
            <v>0</v>
          </cell>
        </row>
        <row r="100">
          <cell r="P100">
            <v>0</v>
          </cell>
        </row>
        <row r="101">
          <cell r="P101">
            <v>0</v>
          </cell>
        </row>
        <row r="102">
          <cell r="O102">
            <v>0.23</v>
          </cell>
          <cell r="P102">
            <v>3.4499999999999996E-2</v>
          </cell>
        </row>
        <row r="103">
          <cell r="P103">
            <v>0</v>
          </cell>
        </row>
        <row r="104">
          <cell r="O104">
            <v>0.26</v>
          </cell>
          <cell r="P104">
            <v>2.6459999999999995</v>
          </cell>
        </row>
        <row r="105">
          <cell r="P105">
            <v>0</v>
          </cell>
        </row>
        <row r="106">
          <cell r="P106">
            <v>3.0400000000000002E-3</v>
          </cell>
        </row>
        <row r="107">
          <cell r="P107">
            <v>0</v>
          </cell>
        </row>
        <row r="108">
          <cell r="P108">
            <v>0.39040000000000002</v>
          </cell>
        </row>
        <row r="109">
          <cell r="P109">
            <v>0</v>
          </cell>
        </row>
        <row r="110">
          <cell r="O110">
            <v>1.2E-2</v>
          </cell>
          <cell r="P110">
            <v>0.23340000000000002</v>
          </cell>
        </row>
        <row r="111">
          <cell r="P111">
            <v>0</v>
          </cell>
        </row>
        <row r="112">
          <cell r="P112">
            <v>0</v>
          </cell>
        </row>
        <row r="113">
          <cell r="P113">
            <v>0</v>
          </cell>
        </row>
        <row r="114">
          <cell r="O114">
            <v>0.11700000000000001</v>
          </cell>
          <cell r="P114">
            <v>4.7500000000000001E-2</v>
          </cell>
        </row>
        <row r="115">
          <cell r="P11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2623-7C11-4425-9F25-B3D03D0F7105}">
  <dimension ref="A1:BA42"/>
  <sheetViews>
    <sheetView topLeftCell="A22" workbookViewId="0">
      <selection activeCell="I40" sqref="I40"/>
    </sheetView>
  </sheetViews>
  <sheetFormatPr defaultRowHeight="14.4" x14ac:dyDescent="0.3"/>
  <cols>
    <col min="1" max="1" width="22.21875" bestFit="1" customWidth="1"/>
    <col min="52" max="52" width="9.5546875" bestFit="1" customWidth="1"/>
  </cols>
  <sheetData>
    <row r="1" spans="1:53" x14ac:dyDescent="0.3">
      <c r="A1" s="1" t="s">
        <v>0</v>
      </c>
      <c r="B1" s="380" t="s">
        <v>1</v>
      </c>
      <c r="C1" s="381"/>
      <c r="D1" s="382"/>
      <c r="E1" s="306"/>
      <c r="F1" s="380" t="s">
        <v>2</v>
      </c>
      <c r="G1" s="381"/>
      <c r="H1" s="382"/>
      <c r="I1" s="306"/>
      <c r="J1" s="380" t="s">
        <v>3</v>
      </c>
      <c r="K1" s="381"/>
      <c r="L1" s="382"/>
      <c r="M1" s="306"/>
      <c r="N1" s="380" t="s">
        <v>4</v>
      </c>
      <c r="O1" s="381"/>
      <c r="P1" s="382"/>
      <c r="Q1" s="306"/>
      <c r="R1" s="380" t="s">
        <v>5</v>
      </c>
      <c r="S1" s="381"/>
      <c r="T1" s="382"/>
      <c r="U1" s="309"/>
      <c r="V1" s="379" t="s">
        <v>6</v>
      </c>
      <c r="W1" s="379"/>
      <c r="X1" s="379"/>
      <c r="Y1" s="308"/>
      <c r="Z1" s="380" t="s">
        <v>7</v>
      </c>
      <c r="AA1" s="381"/>
      <c r="AB1" s="382"/>
      <c r="AC1" s="306"/>
      <c r="AD1" s="380" t="s">
        <v>8</v>
      </c>
      <c r="AE1" s="381"/>
      <c r="AF1" s="382"/>
      <c r="AG1" s="309"/>
      <c r="AH1" s="379" t="s">
        <v>9</v>
      </c>
      <c r="AI1" s="379"/>
      <c r="AJ1" s="379"/>
      <c r="AK1" s="308"/>
      <c r="AL1" s="380" t="s">
        <v>10</v>
      </c>
      <c r="AM1" s="381"/>
      <c r="AN1" s="382"/>
      <c r="AO1" s="306"/>
      <c r="AP1" s="380" t="s">
        <v>11</v>
      </c>
      <c r="AQ1" s="381"/>
      <c r="AR1" s="382"/>
      <c r="AS1" s="306"/>
      <c r="AT1" s="380" t="s">
        <v>12</v>
      </c>
      <c r="AU1" s="381"/>
      <c r="AV1" s="382"/>
      <c r="AW1" s="309"/>
      <c r="AX1" s="379" t="s">
        <v>13</v>
      </c>
      <c r="AY1" s="379"/>
      <c r="AZ1" s="379"/>
    </row>
    <row r="2" spans="1:53" x14ac:dyDescent="0.3">
      <c r="A2" s="2"/>
      <c r="B2" s="1" t="s">
        <v>14</v>
      </c>
      <c r="C2" s="1" t="s">
        <v>15</v>
      </c>
      <c r="D2" s="1" t="s">
        <v>15</v>
      </c>
      <c r="E2" s="1" t="s">
        <v>81</v>
      </c>
      <c r="F2" s="1" t="s">
        <v>14</v>
      </c>
      <c r="G2" s="1" t="s">
        <v>15</v>
      </c>
      <c r="H2" s="1" t="s">
        <v>15</v>
      </c>
      <c r="I2" s="1"/>
      <c r="J2" s="1" t="s">
        <v>14</v>
      </c>
      <c r="K2" s="1" t="s">
        <v>15</v>
      </c>
      <c r="L2" s="1" t="s">
        <v>15</v>
      </c>
      <c r="M2" s="1"/>
      <c r="N2" s="1" t="s">
        <v>14</v>
      </c>
      <c r="O2" s="1" t="s">
        <v>15</v>
      </c>
      <c r="P2" s="1" t="s">
        <v>15</v>
      </c>
      <c r="Q2" s="1"/>
      <c r="R2" s="1" t="s">
        <v>14</v>
      </c>
      <c r="S2" s="1" t="s">
        <v>15</v>
      </c>
      <c r="T2" s="1" t="s">
        <v>15</v>
      </c>
      <c r="U2" s="1"/>
      <c r="V2" s="1" t="s">
        <v>14</v>
      </c>
      <c r="W2" s="1" t="s">
        <v>15</v>
      </c>
      <c r="X2" s="1" t="s">
        <v>15</v>
      </c>
      <c r="Y2" s="1"/>
      <c r="Z2" s="1" t="s">
        <v>14</v>
      </c>
      <c r="AA2" s="1" t="s">
        <v>15</v>
      </c>
      <c r="AB2" s="1" t="s">
        <v>15</v>
      </c>
      <c r="AC2" s="1"/>
      <c r="AD2" s="1" t="s">
        <v>14</v>
      </c>
      <c r="AE2" s="1" t="s">
        <v>15</v>
      </c>
      <c r="AF2" s="1" t="s">
        <v>15</v>
      </c>
      <c r="AG2" s="1"/>
      <c r="AH2" s="1" t="s">
        <v>14</v>
      </c>
      <c r="AI2" s="1" t="s">
        <v>15</v>
      </c>
      <c r="AJ2" s="1" t="s">
        <v>15</v>
      </c>
      <c r="AK2" s="1"/>
      <c r="AL2" s="1" t="s">
        <v>14</v>
      </c>
      <c r="AM2" s="1" t="s">
        <v>15</v>
      </c>
      <c r="AN2" s="1" t="s">
        <v>15</v>
      </c>
      <c r="AO2" s="1"/>
      <c r="AP2" s="1" t="s">
        <v>14</v>
      </c>
      <c r="AQ2" s="1" t="s">
        <v>15</v>
      </c>
      <c r="AR2" s="1" t="s">
        <v>15</v>
      </c>
      <c r="AS2" s="1"/>
      <c r="AT2" s="1" t="s">
        <v>14</v>
      </c>
      <c r="AU2" s="1" t="s">
        <v>15</v>
      </c>
      <c r="AV2" s="1" t="s">
        <v>15</v>
      </c>
      <c r="AW2" s="1"/>
      <c r="AX2" s="1" t="s">
        <v>14</v>
      </c>
      <c r="AY2" s="379" t="s">
        <v>15</v>
      </c>
      <c r="AZ2" s="379"/>
    </row>
    <row r="3" spans="1:53" x14ac:dyDescent="0.3">
      <c r="A3" s="2"/>
      <c r="B3" s="3"/>
      <c r="C3" s="3" t="s">
        <v>16</v>
      </c>
      <c r="D3" s="3" t="s">
        <v>17</v>
      </c>
      <c r="E3" s="3"/>
      <c r="F3" s="3"/>
      <c r="G3" s="3" t="s">
        <v>16</v>
      </c>
      <c r="H3" s="3" t="s">
        <v>17</v>
      </c>
      <c r="I3" s="3"/>
      <c r="J3" s="3"/>
      <c r="K3" s="3" t="s">
        <v>16</v>
      </c>
      <c r="L3" s="3" t="s">
        <v>17</v>
      </c>
      <c r="M3" s="3"/>
      <c r="N3" s="3"/>
      <c r="O3" s="3" t="s">
        <v>16</v>
      </c>
      <c r="P3" s="3" t="s">
        <v>17</v>
      </c>
      <c r="Q3" s="3"/>
      <c r="R3" s="3"/>
      <c r="S3" s="3" t="s">
        <v>16</v>
      </c>
      <c r="T3" s="3" t="s">
        <v>17</v>
      </c>
      <c r="U3" s="3"/>
      <c r="V3" s="3"/>
      <c r="W3" s="3" t="s">
        <v>16</v>
      </c>
      <c r="X3" s="3" t="s">
        <v>17</v>
      </c>
      <c r="Y3" s="3"/>
      <c r="Z3" s="3"/>
      <c r="AA3" s="3" t="s">
        <v>16</v>
      </c>
      <c r="AB3" s="3" t="s">
        <v>17</v>
      </c>
      <c r="AC3" s="3"/>
      <c r="AD3" s="3"/>
      <c r="AE3" s="3" t="s">
        <v>16</v>
      </c>
      <c r="AF3" s="3" t="s">
        <v>17</v>
      </c>
      <c r="AG3" s="3"/>
      <c r="AH3" s="3"/>
      <c r="AI3" s="3" t="s">
        <v>16</v>
      </c>
      <c r="AJ3" s="3" t="s">
        <v>17</v>
      </c>
      <c r="AK3" s="3"/>
      <c r="AL3" s="3"/>
      <c r="AM3" s="3" t="s">
        <v>16</v>
      </c>
      <c r="AN3" s="3" t="s">
        <v>17</v>
      </c>
      <c r="AO3" s="3"/>
      <c r="AP3" s="3"/>
      <c r="AQ3" s="3" t="s">
        <v>16</v>
      </c>
      <c r="AR3" s="3" t="s">
        <v>17</v>
      </c>
      <c r="AS3" s="3"/>
      <c r="AT3" s="3"/>
      <c r="AU3" s="3" t="s">
        <v>18</v>
      </c>
      <c r="AV3" s="3" t="s">
        <v>17</v>
      </c>
      <c r="AW3" s="3"/>
      <c r="AX3" s="4"/>
      <c r="AY3" s="1" t="s">
        <v>18</v>
      </c>
      <c r="AZ3" s="1" t="s">
        <v>17</v>
      </c>
    </row>
    <row r="4" spans="1:53" x14ac:dyDescent="0.3">
      <c r="A4" s="5" t="s">
        <v>19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>
        <v>1.8500000000000001E-3</v>
      </c>
      <c r="W4" s="6">
        <v>1.115E-2</v>
      </c>
      <c r="X4" s="6"/>
      <c r="Y4" s="6"/>
      <c r="Z4" s="6">
        <v>6.7499999999999999E-3</v>
      </c>
      <c r="AA4" s="6">
        <v>9.6920000000000006E-2</v>
      </c>
      <c r="AB4" s="6"/>
      <c r="AC4" s="6"/>
      <c r="AD4" s="6"/>
      <c r="AE4" s="6"/>
      <c r="AF4" s="6"/>
      <c r="AG4" s="6"/>
      <c r="AH4" s="6">
        <v>3.8E-3</v>
      </c>
      <c r="AI4" s="6">
        <v>3.7240000000000002E-2</v>
      </c>
      <c r="AJ4" s="6"/>
      <c r="AK4" s="6"/>
      <c r="AL4" s="6"/>
      <c r="AM4" s="6"/>
      <c r="AN4" s="6"/>
      <c r="AO4" s="6"/>
      <c r="AP4" s="6"/>
      <c r="AQ4" s="6"/>
      <c r="AR4" s="6"/>
      <c r="AS4" s="6"/>
      <c r="AT4" s="6">
        <v>2.2599999999999999E-2</v>
      </c>
      <c r="AU4" s="6">
        <v>0.19600000000000001</v>
      </c>
      <c r="AV4" s="6"/>
      <c r="AW4" s="6"/>
      <c r="AX4" s="7">
        <f t="shared" ref="AX4:AX37" si="0">B4+F4+J4+N4+R4+V4+Z4+AD4+AH4+AL4+AP4+AT4</f>
        <v>3.4999999999999996E-2</v>
      </c>
      <c r="AY4" s="7">
        <f t="shared" ref="AY4:AY37" si="1">C4+G4+K4+O4+S4+W4+AA4+AE4+AI4+AM4+AQ4+AU4</f>
        <v>0.34131</v>
      </c>
      <c r="AZ4" s="7">
        <f t="shared" ref="AZ4:AZ37" si="2">D4+H4+L4+P4+T4+X4+AB4+AF4+AJ4+AN4+AR4+AV4</f>
        <v>0</v>
      </c>
      <c r="BA4">
        <f>(AZ4+AY4)/AX4</f>
        <v>9.7517142857142876</v>
      </c>
    </row>
    <row r="5" spans="1:53" x14ac:dyDescent="0.3">
      <c r="A5" s="5" t="s">
        <v>20</v>
      </c>
      <c r="B5" s="6"/>
      <c r="C5" s="6"/>
      <c r="D5" s="6"/>
      <c r="E5" s="6"/>
      <c r="F5" s="6"/>
      <c r="G5" s="6"/>
      <c r="H5" s="6"/>
      <c r="I5" s="6"/>
      <c r="J5" s="6">
        <v>10.609</v>
      </c>
      <c r="K5" s="6">
        <v>121.998</v>
      </c>
      <c r="L5" s="6"/>
      <c r="M5" s="6"/>
      <c r="N5" s="6"/>
      <c r="O5" s="6"/>
      <c r="P5" s="6"/>
      <c r="Q5" s="6"/>
      <c r="R5" s="6">
        <v>1.4E-2</v>
      </c>
      <c r="S5" s="6"/>
      <c r="T5" s="6">
        <v>7.07</v>
      </c>
      <c r="U5" s="6"/>
      <c r="V5" s="6">
        <v>33.353999999999999</v>
      </c>
      <c r="W5" s="6">
        <v>166.768</v>
      </c>
      <c r="X5" s="6"/>
      <c r="Y5" s="6"/>
      <c r="Z5" s="6">
        <v>4.5389999999999997</v>
      </c>
      <c r="AA5" s="6">
        <v>34.042000000000002</v>
      </c>
      <c r="AB5" s="6"/>
      <c r="AC5" s="6"/>
      <c r="AD5" s="6"/>
      <c r="AE5" s="6"/>
      <c r="AF5" s="6"/>
      <c r="AG5" s="6"/>
      <c r="AH5" s="6">
        <v>2.3639999999999999</v>
      </c>
      <c r="AI5" s="6"/>
      <c r="AJ5" s="6">
        <v>7092.32</v>
      </c>
      <c r="AK5" s="6"/>
      <c r="AL5" s="6">
        <v>2.4500000000000002</v>
      </c>
      <c r="AM5" s="6">
        <v>14.702</v>
      </c>
      <c r="AN5" s="6"/>
      <c r="AO5" s="6"/>
      <c r="AP5" s="6"/>
      <c r="AQ5" s="6"/>
      <c r="AR5" s="6"/>
      <c r="AS5" s="6"/>
      <c r="AT5" s="6">
        <f>1.453+9.37</f>
        <v>10.822999999999999</v>
      </c>
      <c r="AU5" s="6">
        <f>4.649+46.849</f>
        <v>51.497999999999998</v>
      </c>
      <c r="AV5" s="6"/>
      <c r="AW5" s="6"/>
      <c r="AX5" s="7">
        <f t="shared" si="0"/>
        <v>64.152999999999992</v>
      </c>
      <c r="AY5" s="7">
        <f t="shared" si="1"/>
        <v>389.00799999999998</v>
      </c>
      <c r="AZ5" s="7">
        <f t="shared" si="2"/>
        <v>7099.3899999999994</v>
      </c>
      <c r="BA5">
        <f t="shared" ref="BA5:BA38" si="3">(AZ5+AY5)/AX5</f>
        <v>116.72716786432436</v>
      </c>
    </row>
    <row r="6" spans="1:53" x14ac:dyDescent="0.3">
      <c r="A6" s="8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>
        <v>1.22</v>
      </c>
      <c r="AU6" s="6"/>
      <c r="AV6" s="6">
        <v>2860</v>
      </c>
      <c r="AW6" s="6"/>
      <c r="AX6" s="7">
        <f t="shared" si="0"/>
        <v>1.22</v>
      </c>
      <c r="AY6" s="7">
        <f t="shared" si="1"/>
        <v>0</v>
      </c>
      <c r="AZ6" s="7">
        <f t="shared" si="2"/>
        <v>2860</v>
      </c>
      <c r="BA6">
        <f t="shared" si="3"/>
        <v>2344.2622950819673</v>
      </c>
    </row>
    <row r="7" spans="1:53" x14ac:dyDescent="0.3">
      <c r="A7" s="5" t="s">
        <v>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7">
        <f t="shared" si="0"/>
        <v>0</v>
      </c>
      <c r="AY7" s="7">
        <f t="shared" si="1"/>
        <v>0</v>
      </c>
      <c r="AZ7" s="7">
        <f t="shared" si="2"/>
        <v>0</v>
      </c>
      <c r="BA7" t="e">
        <f t="shared" si="3"/>
        <v>#DIV/0!</v>
      </c>
    </row>
    <row r="8" spans="1:53" x14ac:dyDescent="0.3">
      <c r="A8" s="5" t="s">
        <v>23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f>0.172+0.729</f>
        <v>0.90100000000000002</v>
      </c>
      <c r="AU8" s="6">
        <v>8.7200000000000006</v>
      </c>
      <c r="AV8" s="6">
        <v>1285</v>
      </c>
      <c r="AW8" s="6"/>
      <c r="AX8" s="7">
        <f t="shared" si="0"/>
        <v>0.90100000000000002</v>
      </c>
      <c r="AY8" s="7">
        <f t="shared" si="1"/>
        <v>8.7200000000000006</v>
      </c>
      <c r="AZ8" s="7">
        <f t="shared" si="2"/>
        <v>1285</v>
      </c>
      <c r="BA8">
        <f t="shared" si="3"/>
        <v>1435.8712541620421</v>
      </c>
    </row>
    <row r="9" spans="1:53" x14ac:dyDescent="0.3">
      <c r="A9" s="5" t="s">
        <v>24</v>
      </c>
      <c r="B9" s="6"/>
      <c r="C9" s="6"/>
      <c r="D9" s="6"/>
      <c r="E9" s="6"/>
      <c r="F9" s="6"/>
      <c r="G9" s="6"/>
      <c r="H9" s="6"/>
      <c r="I9" s="6"/>
      <c r="J9" s="6">
        <v>0.16</v>
      </c>
      <c r="K9" s="6">
        <v>0.48</v>
      </c>
      <c r="L9" s="6"/>
      <c r="M9" s="6"/>
      <c r="N9" s="6"/>
      <c r="O9" s="6"/>
      <c r="P9" s="6"/>
      <c r="Q9" s="6"/>
      <c r="R9" s="6">
        <v>2.04</v>
      </c>
      <c r="S9" s="6">
        <v>5.41</v>
      </c>
      <c r="T9" s="6"/>
      <c r="U9" s="6"/>
      <c r="V9" s="6">
        <v>0.02</v>
      </c>
      <c r="W9" s="6">
        <v>0.04</v>
      </c>
      <c r="X9" s="6"/>
      <c r="Y9" s="6"/>
      <c r="Z9" s="6">
        <v>2.16</v>
      </c>
      <c r="AA9" s="6">
        <v>15.47</v>
      </c>
      <c r="AB9" s="6"/>
      <c r="AC9" s="6"/>
      <c r="AD9" s="6"/>
      <c r="AE9" s="6"/>
      <c r="AF9" s="6"/>
      <c r="AG9" s="6"/>
      <c r="AH9" s="6">
        <v>0.83</v>
      </c>
      <c r="AI9" s="6">
        <v>1.92</v>
      </c>
      <c r="AJ9" s="6"/>
      <c r="AK9" s="6"/>
      <c r="AL9" s="6">
        <v>1.79</v>
      </c>
      <c r="AM9" s="6">
        <v>6.55</v>
      </c>
      <c r="AN9" s="6"/>
      <c r="AO9" s="6"/>
      <c r="AP9" s="6"/>
      <c r="AQ9" s="6"/>
      <c r="AR9" s="6"/>
      <c r="AS9" s="6"/>
      <c r="AT9" s="6">
        <v>1.41</v>
      </c>
      <c r="AU9" s="6">
        <v>2.98</v>
      </c>
      <c r="AV9" s="6"/>
      <c r="AW9" s="6"/>
      <c r="AX9" s="7">
        <f t="shared" si="0"/>
        <v>8.41</v>
      </c>
      <c r="AY9" s="7">
        <f t="shared" si="1"/>
        <v>32.85</v>
      </c>
      <c r="AZ9" s="7">
        <f t="shared" si="2"/>
        <v>0</v>
      </c>
      <c r="BA9">
        <f t="shared" si="3"/>
        <v>3.9060642092746729</v>
      </c>
    </row>
    <row r="10" spans="1:53" x14ac:dyDescent="0.3">
      <c r="A10" s="5" t="s">
        <v>25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7">
        <f t="shared" si="0"/>
        <v>0</v>
      </c>
      <c r="AY10" s="7">
        <f t="shared" si="1"/>
        <v>0</v>
      </c>
      <c r="AZ10" s="7">
        <f t="shared" si="2"/>
        <v>0</v>
      </c>
      <c r="BA10" t="e">
        <f t="shared" si="3"/>
        <v>#DIV/0!</v>
      </c>
    </row>
    <row r="11" spans="1:53" x14ac:dyDescent="0.3">
      <c r="A11" s="5" t="s">
        <v>26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7">
        <f t="shared" si="0"/>
        <v>0</v>
      </c>
      <c r="AY11" s="7">
        <f t="shared" si="1"/>
        <v>0</v>
      </c>
      <c r="AZ11" s="7">
        <f t="shared" si="2"/>
        <v>0</v>
      </c>
      <c r="BA11" t="e">
        <f t="shared" si="3"/>
        <v>#DIV/0!</v>
      </c>
    </row>
    <row r="12" spans="1:53" x14ac:dyDescent="0.3">
      <c r="A12" s="5" t="s">
        <v>27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5.5</v>
      </c>
      <c r="AU12" s="6">
        <v>5.7</v>
      </c>
      <c r="AV12" s="6">
        <v>1038</v>
      </c>
      <c r="AW12" s="6"/>
      <c r="AX12" s="7">
        <f t="shared" si="0"/>
        <v>5.5</v>
      </c>
      <c r="AY12" s="7">
        <f t="shared" si="1"/>
        <v>5.7</v>
      </c>
      <c r="AZ12" s="7">
        <f t="shared" si="2"/>
        <v>1038</v>
      </c>
      <c r="BA12">
        <f t="shared" si="3"/>
        <v>189.76363636363638</v>
      </c>
    </row>
    <row r="13" spans="1:53" x14ac:dyDescent="0.3">
      <c r="A13" s="5" t="s">
        <v>28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7">
        <f t="shared" si="0"/>
        <v>0</v>
      </c>
      <c r="AY13" s="7">
        <f t="shared" si="1"/>
        <v>0</v>
      </c>
      <c r="AZ13" s="7">
        <f t="shared" si="2"/>
        <v>0</v>
      </c>
      <c r="BA13" t="e">
        <f t="shared" si="3"/>
        <v>#DIV/0!</v>
      </c>
    </row>
    <row r="14" spans="1:53" x14ac:dyDescent="0.3">
      <c r="A14" s="5" t="s">
        <v>29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>
        <v>6.33</v>
      </c>
      <c r="AA14" s="6">
        <v>59.12</v>
      </c>
      <c r="AB14" s="6"/>
      <c r="AC14" s="6"/>
      <c r="AD14" s="6"/>
      <c r="AE14" s="6"/>
      <c r="AF14" s="6"/>
      <c r="AG14" s="6"/>
      <c r="AH14" s="6">
        <v>4.1100000000000003</v>
      </c>
      <c r="AI14" s="6">
        <v>32.14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>
        <v>5.52</v>
      </c>
      <c r="AU14" s="6">
        <v>44.24</v>
      </c>
      <c r="AV14" s="6"/>
      <c r="AW14" s="6"/>
      <c r="AX14" s="7">
        <f t="shared" si="0"/>
        <v>15.96</v>
      </c>
      <c r="AY14" s="7">
        <f t="shared" si="1"/>
        <v>135.5</v>
      </c>
      <c r="AZ14" s="7">
        <f t="shared" si="2"/>
        <v>0</v>
      </c>
      <c r="BA14">
        <f t="shared" si="3"/>
        <v>8.4899749373433586</v>
      </c>
    </row>
    <row r="15" spans="1:53" x14ac:dyDescent="0.3">
      <c r="A15" s="5" t="s">
        <v>30</v>
      </c>
      <c r="B15" s="6"/>
      <c r="C15" s="6"/>
      <c r="D15" s="6"/>
      <c r="E15" s="6"/>
      <c r="F15" s="6"/>
      <c r="G15" s="6"/>
      <c r="H15" s="6"/>
      <c r="I15" s="6"/>
      <c r="J15" s="6">
        <v>7.0000000000000007E-2</v>
      </c>
      <c r="K15" s="6">
        <v>0.75</v>
      </c>
      <c r="L15" s="6">
        <v>62.68</v>
      </c>
      <c r="M15" s="6"/>
      <c r="N15" s="6"/>
      <c r="O15" s="6"/>
      <c r="P15" s="6"/>
      <c r="Q15" s="6"/>
      <c r="R15" s="6">
        <v>0.9</v>
      </c>
      <c r="S15" s="6"/>
      <c r="T15" s="6">
        <v>1027.98</v>
      </c>
      <c r="U15" s="6"/>
      <c r="V15" s="6"/>
      <c r="W15" s="6"/>
      <c r="X15" s="6"/>
      <c r="Y15" s="6"/>
      <c r="Z15" s="6">
        <v>5.01</v>
      </c>
      <c r="AA15" s="6">
        <v>62.97</v>
      </c>
      <c r="AB15" s="6"/>
      <c r="AC15" s="6"/>
      <c r="AD15" s="6"/>
      <c r="AE15" s="6"/>
      <c r="AF15" s="6"/>
      <c r="AG15" s="6"/>
      <c r="AH15" s="6">
        <v>0.14000000000000001</v>
      </c>
      <c r="AI15" s="6">
        <v>0.2</v>
      </c>
      <c r="AJ15" s="6">
        <v>4.4800000000000004</v>
      </c>
      <c r="AK15" s="6"/>
      <c r="AL15" s="6">
        <v>0.16</v>
      </c>
      <c r="AM15" s="6">
        <v>0.02</v>
      </c>
      <c r="AN15" s="6">
        <v>171.79</v>
      </c>
      <c r="AO15" s="6"/>
      <c r="AP15" s="6"/>
      <c r="AQ15" s="6"/>
      <c r="AR15" s="6"/>
      <c r="AS15" s="6"/>
      <c r="AT15" s="6">
        <v>0.05</v>
      </c>
      <c r="AU15" s="6">
        <v>0.21</v>
      </c>
      <c r="AV15" s="6">
        <v>2.54</v>
      </c>
      <c r="AW15" s="6"/>
      <c r="AX15" s="7">
        <f t="shared" si="0"/>
        <v>6.3299999999999992</v>
      </c>
      <c r="AY15" s="7">
        <f t="shared" si="1"/>
        <v>64.150000000000006</v>
      </c>
      <c r="AZ15" s="7">
        <f t="shared" si="2"/>
        <v>1269.47</v>
      </c>
      <c r="BA15">
        <f t="shared" si="3"/>
        <v>210.68246445497635</v>
      </c>
    </row>
    <row r="16" spans="1:53" x14ac:dyDescent="0.3">
      <c r="A16" s="5" t="s">
        <v>31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f>0.456+0.403</f>
        <v>0.85899999999999999</v>
      </c>
      <c r="AU16" s="6">
        <v>35.292999999999999</v>
      </c>
      <c r="AV16" s="6">
        <v>1948.057</v>
      </c>
      <c r="AW16" s="6"/>
      <c r="AX16" s="7">
        <f t="shared" si="0"/>
        <v>0.85899999999999999</v>
      </c>
      <c r="AY16" s="7">
        <f t="shared" si="1"/>
        <v>35.292999999999999</v>
      </c>
      <c r="AZ16" s="7">
        <f t="shared" si="2"/>
        <v>1948.057</v>
      </c>
      <c r="BA16">
        <f t="shared" si="3"/>
        <v>2308.905704307334</v>
      </c>
    </row>
    <row r="17" spans="1:53" x14ac:dyDescent="0.3">
      <c r="A17" s="5" t="s">
        <v>32</v>
      </c>
      <c r="B17" s="6"/>
      <c r="C17" s="6"/>
      <c r="D17" s="6"/>
      <c r="E17" s="6"/>
      <c r="F17" s="6">
        <v>3.0000000000000001E-3</v>
      </c>
      <c r="G17" s="6"/>
      <c r="H17" s="6">
        <v>18</v>
      </c>
      <c r="I17" s="6"/>
      <c r="J17" s="6">
        <v>1.2E-2</v>
      </c>
      <c r="K17" s="6"/>
      <c r="L17" s="6">
        <v>10</v>
      </c>
      <c r="M17" s="6"/>
      <c r="N17" s="6">
        <v>1.1999999999999999E-3</v>
      </c>
      <c r="O17" s="6"/>
      <c r="P17" s="6">
        <v>3</v>
      </c>
      <c r="Q17" s="6"/>
      <c r="R17" s="6">
        <v>2.3E-3</v>
      </c>
      <c r="S17" s="6"/>
      <c r="T17" s="6">
        <v>60.92</v>
      </c>
      <c r="U17" s="6"/>
      <c r="V17" s="6"/>
      <c r="W17" s="6"/>
      <c r="X17" s="6"/>
      <c r="Y17" s="6"/>
      <c r="Z17" s="6">
        <v>0.115</v>
      </c>
      <c r="AA17" s="6">
        <v>1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>
        <v>1.2E-2</v>
      </c>
      <c r="AQ17" s="6"/>
      <c r="AR17" s="6">
        <v>40</v>
      </c>
      <c r="AS17" s="6"/>
      <c r="AT17" s="6">
        <v>3.1E-2</v>
      </c>
      <c r="AU17" s="6">
        <v>0.06</v>
      </c>
      <c r="AV17" s="6">
        <v>24</v>
      </c>
      <c r="AW17" s="6"/>
      <c r="AX17" s="7">
        <f t="shared" si="0"/>
        <v>0.17650000000000002</v>
      </c>
      <c r="AY17" s="7">
        <f t="shared" si="1"/>
        <v>1.06</v>
      </c>
      <c r="AZ17" s="7">
        <f t="shared" si="2"/>
        <v>155.92000000000002</v>
      </c>
      <c r="BA17">
        <f t="shared" si="3"/>
        <v>889.40509915014161</v>
      </c>
    </row>
    <row r="18" spans="1:53" x14ac:dyDescent="0.3">
      <c r="A18" s="5" t="s">
        <v>33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1.6</v>
      </c>
      <c r="AU18" s="6">
        <v>22.026</v>
      </c>
      <c r="AV18" s="6">
        <v>1711</v>
      </c>
      <c r="AW18" s="6"/>
      <c r="AX18" s="7">
        <f t="shared" si="0"/>
        <v>1.6</v>
      </c>
      <c r="AY18" s="7">
        <f t="shared" si="1"/>
        <v>22.026</v>
      </c>
      <c r="AZ18" s="7">
        <f t="shared" si="2"/>
        <v>1711</v>
      </c>
      <c r="BA18">
        <f t="shared" si="3"/>
        <v>1083.1412499999999</v>
      </c>
    </row>
    <row r="19" spans="1:53" x14ac:dyDescent="0.3">
      <c r="A19" s="5" t="s">
        <v>34</v>
      </c>
      <c r="B19" s="6">
        <v>5.6000000000000001E-2</v>
      </c>
      <c r="C19" s="6"/>
      <c r="D19" s="6">
        <v>23</v>
      </c>
      <c r="E19" s="6">
        <f>D19/B19</f>
        <v>410.71428571428572</v>
      </c>
      <c r="F19" s="6">
        <v>3.2000000000000001E-2</v>
      </c>
      <c r="G19" s="6"/>
      <c r="H19" s="6">
        <v>339</v>
      </c>
      <c r="I19" s="6"/>
      <c r="J19" s="6">
        <v>5.3090000000000002</v>
      </c>
      <c r="K19" s="6">
        <v>63.866999999999997</v>
      </c>
      <c r="L19" s="6"/>
      <c r="M19" s="6"/>
      <c r="N19" s="6">
        <v>8.4000000000000005E-2</v>
      </c>
      <c r="O19" s="6"/>
      <c r="P19" s="6">
        <v>297</v>
      </c>
      <c r="Q19" s="6"/>
      <c r="R19" s="6">
        <v>0.24099999999999999</v>
      </c>
      <c r="S19" s="6"/>
      <c r="T19" s="6">
        <v>482</v>
      </c>
      <c r="U19" s="6"/>
      <c r="V19" s="6">
        <v>5.8739999999999997</v>
      </c>
      <c r="W19" s="6">
        <v>35.1</v>
      </c>
      <c r="X19" s="6"/>
      <c r="Y19" s="6"/>
      <c r="Z19" s="6">
        <v>7.7969999999999997</v>
      </c>
      <c r="AA19" s="6">
        <v>67.132999999999996</v>
      </c>
      <c r="AB19" s="6"/>
      <c r="AC19" s="6"/>
      <c r="AD19" s="6"/>
      <c r="AE19" s="6"/>
      <c r="AF19" s="6"/>
      <c r="AG19" s="6"/>
      <c r="AH19" s="6">
        <v>2.524</v>
      </c>
      <c r="AI19" s="6"/>
      <c r="AJ19" s="6">
        <v>7303</v>
      </c>
      <c r="AK19" s="6"/>
      <c r="AL19" s="6">
        <v>1.752</v>
      </c>
      <c r="AM19" s="6">
        <v>11.617000000000001</v>
      </c>
      <c r="AN19" s="6">
        <v>1884</v>
      </c>
      <c r="AO19" s="6"/>
      <c r="AP19" s="6"/>
      <c r="AQ19" s="6"/>
      <c r="AR19" s="6"/>
      <c r="AS19" s="6"/>
      <c r="AT19" s="6">
        <f>2.063+2.457+0.06+0.031+0.031+0.089+0.08+0.739</f>
        <v>5.5499999999999989</v>
      </c>
      <c r="AU19" s="6">
        <f>19.803+11.209+0.039+0.077+0.012+0.037+2.646</f>
        <v>33.823</v>
      </c>
      <c r="AV19" s="6">
        <v>60</v>
      </c>
      <c r="AW19" s="6"/>
      <c r="AX19" s="7">
        <f t="shared" si="0"/>
        <v>29.219000000000001</v>
      </c>
      <c r="AY19" s="7">
        <f t="shared" si="1"/>
        <v>211.54</v>
      </c>
      <c r="AZ19" s="7">
        <f t="shared" si="2"/>
        <v>10388</v>
      </c>
      <c r="BA19">
        <f t="shared" si="3"/>
        <v>362.76190150244707</v>
      </c>
    </row>
    <row r="20" spans="1:53" x14ac:dyDescent="0.3">
      <c r="A20" s="5" t="s">
        <v>35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7">
        <f t="shared" si="0"/>
        <v>0</v>
      </c>
      <c r="AY20" s="7">
        <f t="shared" si="1"/>
        <v>0</v>
      </c>
      <c r="AZ20" s="7">
        <f t="shared" si="2"/>
        <v>0</v>
      </c>
      <c r="BA20" t="e">
        <f t="shared" si="3"/>
        <v>#DIV/0!</v>
      </c>
    </row>
    <row r="21" spans="1:53" x14ac:dyDescent="0.3">
      <c r="A21" s="5" t="s">
        <v>36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7">
        <f t="shared" si="0"/>
        <v>0</v>
      </c>
      <c r="AY21" s="7">
        <f t="shared" si="1"/>
        <v>0</v>
      </c>
      <c r="AZ21" s="7">
        <f t="shared" si="2"/>
        <v>0</v>
      </c>
      <c r="BA21" t="e">
        <f t="shared" si="3"/>
        <v>#DIV/0!</v>
      </c>
    </row>
    <row r="22" spans="1:53" x14ac:dyDescent="0.3">
      <c r="A22" s="5" t="s">
        <v>37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15.613</v>
      </c>
      <c r="AU22" s="6">
        <v>150.66499999999999</v>
      </c>
      <c r="AV22" s="6"/>
      <c r="AW22" s="6"/>
      <c r="AX22" s="7">
        <f t="shared" si="0"/>
        <v>15.613</v>
      </c>
      <c r="AY22" s="7">
        <f t="shared" si="1"/>
        <v>150.66499999999999</v>
      </c>
      <c r="AZ22" s="7">
        <f t="shared" si="2"/>
        <v>0</v>
      </c>
      <c r="BA22">
        <f t="shared" si="3"/>
        <v>9.6499711778646002</v>
      </c>
    </row>
    <row r="23" spans="1:53" x14ac:dyDescent="0.3">
      <c r="A23" s="5" t="s">
        <v>38</v>
      </c>
      <c r="B23" s="6"/>
      <c r="C23" s="6"/>
      <c r="D23" s="6"/>
      <c r="E23" s="6"/>
      <c r="F23" s="6"/>
      <c r="G23" s="6"/>
      <c r="H23" s="6"/>
      <c r="I23" s="6"/>
      <c r="J23" s="6">
        <v>2</v>
      </c>
      <c r="K23" s="6">
        <v>8</v>
      </c>
      <c r="L23" s="6"/>
      <c r="M23" s="6"/>
      <c r="N23" s="6"/>
      <c r="O23" s="6"/>
      <c r="P23" s="6"/>
      <c r="Q23" s="6"/>
      <c r="R23" s="6">
        <v>0.75</v>
      </c>
      <c r="S23" s="6">
        <v>6</v>
      </c>
      <c r="T23" s="6"/>
      <c r="U23" s="6"/>
      <c r="V23" s="6">
        <v>2</v>
      </c>
      <c r="W23" s="6">
        <v>4</v>
      </c>
      <c r="X23" s="6"/>
      <c r="Y23" s="6"/>
      <c r="Z23" s="6">
        <v>6.05</v>
      </c>
      <c r="AA23" s="6">
        <v>59</v>
      </c>
      <c r="AB23" s="6"/>
      <c r="AC23" s="6"/>
      <c r="AD23" s="6"/>
      <c r="AE23" s="6"/>
      <c r="AF23" s="6"/>
      <c r="AG23" s="6"/>
      <c r="AH23" s="6">
        <v>5.53</v>
      </c>
      <c r="AI23" s="6">
        <v>11</v>
      </c>
      <c r="AJ23" s="6"/>
      <c r="AK23" s="6"/>
      <c r="AL23" s="6">
        <v>0.75</v>
      </c>
      <c r="AM23" s="6">
        <v>5</v>
      </c>
      <c r="AN23" s="6"/>
      <c r="AO23" s="6"/>
      <c r="AP23" s="6"/>
      <c r="AQ23" s="6"/>
      <c r="AR23" s="6"/>
      <c r="AS23" s="6"/>
      <c r="AT23" s="6">
        <f>1.8</f>
        <v>1.8</v>
      </c>
      <c r="AU23" s="6">
        <v>11</v>
      </c>
      <c r="AV23" s="6">
        <v>7914</v>
      </c>
      <c r="AW23" s="6"/>
      <c r="AX23" s="7">
        <f t="shared" si="0"/>
        <v>18.880000000000003</v>
      </c>
      <c r="AY23" s="7">
        <f t="shared" si="1"/>
        <v>104</v>
      </c>
      <c r="AZ23" s="7">
        <f t="shared" si="2"/>
        <v>7914</v>
      </c>
      <c r="BA23">
        <f t="shared" si="3"/>
        <v>424.68220338983048</v>
      </c>
    </row>
    <row r="24" spans="1:53" x14ac:dyDescent="0.3">
      <c r="A24" s="9" t="s">
        <v>39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7">
        <f t="shared" si="0"/>
        <v>0</v>
      </c>
      <c r="AY24" s="7">
        <f t="shared" si="1"/>
        <v>0</v>
      </c>
      <c r="AZ24" s="7">
        <f t="shared" si="2"/>
        <v>0</v>
      </c>
      <c r="BA24" t="e">
        <f t="shared" si="3"/>
        <v>#DIV/0!</v>
      </c>
    </row>
    <row r="25" spans="1:53" x14ac:dyDescent="0.3">
      <c r="A25" s="5" t="s">
        <v>40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7">
        <f t="shared" si="0"/>
        <v>0</v>
      </c>
      <c r="AY25" s="7">
        <f t="shared" si="1"/>
        <v>0</v>
      </c>
      <c r="AZ25" s="7">
        <f t="shared" si="2"/>
        <v>0</v>
      </c>
      <c r="BA25" t="e">
        <f t="shared" si="3"/>
        <v>#DIV/0!</v>
      </c>
    </row>
    <row r="26" spans="1:53" x14ac:dyDescent="0.3">
      <c r="A26" s="5" t="s">
        <v>41</v>
      </c>
      <c r="B26" s="6">
        <v>3.3000000000000002E-2</v>
      </c>
      <c r="C26" s="6"/>
      <c r="D26" s="6">
        <v>90.75</v>
      </c>
      <c r="E26" s="6">
        <f t="shared" ref="E26:E32" si="4">D26/B26</f>
        <v>2750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>
        <v>1E-3</v>
      </c>
      <c r="AE26" s="6"/>
      <c r="AF26" s="6">
        <v>6.25E-2</v>
      </c>
      <c r="AG26" s="6"/>
      <c r="AH26" s="6">
        <v>8.9999999999999993E-3</v>
      </c>
      <c r="AI26" s="6"/>
      <c r="AJ26" s="6">
        <v>43.2</v>
      </c>
      <c r="AK26" s="6"/>
      <c r="AL26" s="6"/>
      <c r="AM26" s="6"/>
      <c r="AN26" s="6"/>
      <c r="AO26" s="6"/>
      <c r="AP26" s="6"/>
      <c r="AQ26" s="6"/>
      <c r="AR26" s="6"/>
      <c r="AS26" s="6"/>
      <c r="AT26" s="6">
        <v>8.5999999999999993E-2</v>
      </c>
      <c r="AU26" s="6"/>
      <c r="AV26" s="6">
        <v>215</v>
      </c>
      <c r="AW26" s="6"/>
      <c r="AX26" s="7">
        <f t="shared" si="0"/>
        <v>0.129</v>
      </c>
      <c r="AY26" s="7">
        <f t="shared" si="1"/>
        <v>0</v>
      </c>
      <c r="AZ26" s="7">
        <f t="shared" si="2"/>
        <v>349.01249999999999</v>
      </c>
      <c r="BA26">
        <f t="shared" si="3"/>
        <v>2705.5232558139533</v>
      </c>
    </row>
    <row r="27" spans="1:53" x14ac:dyDescent="0.3">
      <c r="A27" s="8" t="s">
        <v>42</v>
      </c>
      <c r="B27" s="6">
        <v>2E-3</v>
      </c>
      <c r="C27" s="6"/>
      <c r="D27" s="6">
        <v>2.04</v>
      </c>
      <c r="E27" s="6">
        <f t="shared" si="4"/>
        <v>1020</v>
      </c>
      <c r="F27" s="6"/>
      <c r="G27" s="6"/>
      <c r="H27" s="6"/>
      <c r="I27" s="6"/>
      <c r="J27" s="6"/>
      <c r="K27" s="6"/>
      <c r="L27" s="6"/>
      <c r="M27" s="6"/>
      <c r="N27" s="6">
        <v>1.8E-3</v>
      </c>
      <c r="O27" s="6"/>
      <c r="P27" s="6">
        <v>3.24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1.8E-3</v>
      </c>
      <c r="AE27" s="6"/>
      <c r="AF27" s="6">
        <v>0.216</v>
      </c>
      <c r="AG27" s="6"/>
      <c r="AH27" s="6">
        <v>3.0000000000000001E-3</v>
      </c>
      <c r="AI27" s="6"/>
      <c r="AJ27" s="6">
        <v>3.6</v>
      </c>
      <c r="AK27" s="6"/>
      <c r="AL27" s="6"/>
      <c r="AM27" s="6"/>
      <c r="AN27" s="6"/>
      <c r="AO27" s="6"/>
      <c r="AP27" s="6"/>
      <c r="AQ27" s="6"/>
      <c r="AR27" s="6"/>
      <c r="AS27" s="6"/>
      <c r="AT27" s="6">
        <f>0.005+0.0048</f>
        <v>9.7999999999999997E-3</v>
      </c>
      <c r="AU27" s="6"/>
      <c r="AV27" s="6">
        <f>3.38+2.88</f>
        <v>6.26</v>
      </c>
      <c r="AW27" s="6"/>
      <c r="AX27" s="7">
        <f t="shared" si="0"/>
        <v>1.84E-2</v>
      </c>
      <c r="AY27" s="7">
        <f t="shared" si="1"/>
        <v>0</v>
      </c>
      <c r="AZ27" s="7">
        <f t="shared" si="2"/>
        <v>15.356</v>
      </c>
      <c r="BA27">
        <f t="shared" si="3"/>
        <v>834.56521739130437</v>
      </c>
    </row>
    <row r="28" spans="1:53" x14ac:dyDescent="0.3">
      <c r="A28" s="5" t="s">
        <v>43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2.38</v>
      </c>
      <c r="S28" s="6"/>
      <c r="T28" s="6">
        <v>2360</v>
      </c>
      <c r="U28" s="6"/>
      <c r="V28" s="6"/>
      <c r="W28" s="6"/>
      <c r="X28" s="6"/>
      <c r="Y28" s="6"/>
      <c r="Z28" s="6">
        <v>2.69</v>
      </c>
      <c r="AA28" s="6">
        <v>24.66</v>
      </c>
      <c r="AB28" s="6"/>
      <c r="AC28" s="6"/>
      <c r="AD28" s="6"/>
      <c r="AE28" s="6"/>
      <c r="AF28" s="6"/>
      <c r="AG28" s="6"/>
      <c r="AH28" s="6">
        <v>1.93</v>
      </c>
      <c r="AI28" s="6"/>
      <c r="AJ28" s="6">
        <v>3660</v>
      </c>
      <c r="AK28" s="6"/>
      <c r="AL28" s="6">
        <v>0.54</v>
      </c>
      <c r="AM28" s="6">
        <v>1.419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7">
        <f t="shared" si="0"/>
        <v>7.54</v>
      </c>
      <c r="AY28" s="7">
        <f t="shared" si="1"/>
        <v>26.079000000000001</v>
      </c>
      <c r="AZ28" s="7">
        <f t="shared" si="2"/>
        <v>6020</v>
      </c>
      <c r="BA28">
        <f t="shared" si="3"/>
        <v>801.86724137931026</v>
      </c>
    </row>
    <row r="29" spans="1:53" x14ac:dyDescent="0.3">
      <c r="A29" s="8" t="s">
        <v>44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1.7399999999999999E-2</v>
      </c>
      <c r="W29" s="6">
        <v>0.104</v>
      </c>
      <c r="X29" s="6"/>
      <c r="Y29" s="6"/>
      <c r="Z29" s="6">
        <v>3.5999999999999997E-2</v>
      </c>
      <c r="AA29" s="6">
        <v>0.23300000000000001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>
        <v>8.3999999999999995E-3</v>
      </c>
      <c r="AM29" s="6">
        <v>3.78E-2</v>
      </c>
      <c r="AN29" s="6"/>
      <c r="AO29" s="6"/>
      <c r="AP29" s="6"/>
      <c r="AQ29" s="6"/>
      <c r="AR29" s="6"/>
      <c r="AS29" s="6"/>
      <c r="AT29" s="6">
        <v>8.2000000000000007E-3</v>
      </c>
      <c r="AU29" s="6">
        <v>3.2800000000000003E-2</v>
      </c>
      <c r="AV29" s="6"/>
      <c r="AW29" s="6"/>
      <c r="AX29" s="7">
        <f t="shared" si="0"/>
        <v>6.9999999999999993E-2</v>
      </c>
      <c r="AY29" s="7">
        <f t="shared" si="1"/>
        <v>0.40760000000000002</v>
      </c>
      <c r="AZ29" s="7">
        <f t="shared" si="2"/>
        <v>0</v>
      </c>
      <c r="BA29">
        <f t="shared" si="3"/>
        <v>5.8228571428571438</v>
      </c>
    </row>
    <row r="30" spans="1:53" x14ac:dyDescent="0.3">
      <c r="A30" s="5" t="s">
        <v>45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f>1.3+0.76</f>
        <v>2.06</v>
      </c>
      <c r="AU30" s="6">
        <v>10.054</v>
      </c>
      <c r="AV30" s="6">
        <v>6.5000000000000002E-2</v>
      </c>
      <c r="AW30" s="6"/>
      <c r="AX30" s="7">
        <f t="shared" si="0"/>
        <v>2.06</v>
      </c>
      <c r="AY30" s="7">
        <f t="shared" si="1"/>
        <v>10.054</v>
      </c>
      <c r="AZ30" s="7">
        <f t="shared" si="2"/>
        <v>6.5000000000000002E-2</v>
      </c>
      <c r="BA30">
        <f t="shared" si="3"/>
        <v>4.9121359223300969</v>
      </c>
    </row>
    <row r="31" spans="1:53" x14ac:dyDescent="0.3">
      <c r="A31" s="5" t="s">
        <v>46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2.4900000000000002</v>
      </c>
      <c r="AU31" s="6">
        <v>2.69</v>
      </c>
      <c r="AV31" s="6"/>
      <c r="AW31" s="6"/>
      <c r="AX31" s="7">
        <f t="shared" si="0"/>
        <v>2.4900000000000002</v>
      </c>
      <c r="AY31" s="7">
        <f t="shared" si="1"/>
        <v>2.69</v>
      </c>
      <c r="AZ31" s="7">
        <f t="shared" si="2"/>
        <v>0</v>
      </c>
      <c r="BA31">
        <f t="shared" si="3"/>
        <v>1.0803212851405621</v>
      </c>
    </row>
    <row r="32" spans="1:53" x14ac:dyDescent="0.3">
      <c r="A32" s="5" t="s">
        <v>47</v>
      </c>
      <c r="B32" s="6">
        <v>8.0000000000000002E-3</v>
      </c>
      <c r="C32" s="6"/>
      <c r="D32" s="6">
        <v>4.3</v>
      </c>
      <c r="E32" s="6">
        <f t="shared" si="4"/>
        <v>537.5</v>
      </c>
      <c r="F32" s="6">
        <v>7.0000000000000001E-3</v>
      </c>
      <c r="G32" s="6"/>
      <c r="H32" s="6">
        <v>8.68</v>
      </c>
      <c r="I32" s="6"/>
      <c r="J32" s="6"/>
      <c r="K32" s="6"/>
      <c r="L32" s="6"/>
      <c r="M32" s="6"/>
      <c r="N32" s="6">
        <v>2.7E-2</v>
      </c>
      <c r="O32" s="6"/>
      <c r="P32" s="6">
        <v>16.579999999999998</v>
      </c>
      <c r="Q32" s="6"/>
      <c r="R32" s="6">
        <v>2.8000000000000001E-2</v>
      </c>
      <c r="S32" s="6"/>
      <c r="T32" s="6">
        <v>60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2.4E-2</v>
      </c>
      <c r="AI32" s="6"/>
      <c r="AJ32" s="6">
        <v>26.68</v>
      </c>
      <c r="AK32" s="6"/>
      <c r="AL32" s="6"/>
      <c r="AM32" s="6"/>
      <c r="AN32" s="6"/>
      <c r="AO32" s="6"/>
      <c r="AP32" s="6"/>
      <c r="AQ32" s="6"/>
      <c r="AR32" s="6"/>
      <c r="AS32" s="6"/>
      <c r="AT32" s="6">
        <f>0.03+0.009+0.018+0.038+0.016</f>
        <v>0.111</v>
      </c>
      <c r="AU32" s="6">
        <v>25.95</v>
      </c>
      <c r="AV32" s="6">
        <f>29+13.76+18+32.05</f>
        <v>92.81</v>
      </c>
      <c r="AW32" s="6"/>
      <c r="AX32" s="7">
        <f t="shared" si="0"/>
        <v>0.20500000000000002</v>
      </c>
      <c r="AY32" s="7">
        <f t="shared" si="1"/>
        <v>25.95</v>
      </c>
      <c r="AZ32" s="7">
        <f t="shared" si="2"/>
        <v>209.05</v>
      </c>
      <c r="BA32">
        <f t="shared" si="3"/>
        <v>1146.3414634146341</v>
      </c>
    </row>
    <row r="33" spans="1:53" x14ac:dyDescent="0.3">
      <c r="A33" s="5" t="s">
        <v>48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32.32</v>
      </c>
      <c r="AU33" s="6">
        <v>332.81</v>
      </c>
      <c r="AV33" s="6"/>
      <c r="AW33" s="6"/>
      <c r="AX33" s="7">
        <f t="shared" si="0"/>
        <v>32.32</v>
      </c>
      <c r="AY33" s="7">
        <f t="shared" si="1"/>
        <v>332.81</v>
      </c>
      <c r="AZ33" s="7">
        <f t="shared" si="2"/>
        <v>0</v>
      </c>
      <c r="BA33">
        <f t="shared" si="3"/>
        <v>10.297339108910892</v>
      </c>
    </row>
    <row r="34" spans="1:53" x14ac:dyDescent="0.3">
      <c r="A34" s="5" t="s">
        <v>49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7">
        <f t="shared" si="0"/>
        <v>0</v>
      </c>
      <c r="AY34" s="7">
        <f t="shared" si="1"/>
        <v>0</v>
      </c>
      <c r="AZ34" s="7">
        <f t="shared" si="2"/>
        <v>0</v>
      </c>
      <c r="BA34" t="e">
        <f t="shared" si="3"/>
        <v>#DIV/0!</v>
      </c>
    </row>
    <row r="35" spans="1:53" x14ac:dyDescent="0.3">
      <c r="A35" s="5" t="s">
        <v>50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2.6909999999999998</v>
      </c>
      <c r="S35" s="6"/>
      <c r="T35" s="6">
        <v>2691</v>
      </c>
      <c r="U35" s="6"/>
      <c r="V35" s="6"/>
      <c r="W35" s="6"/>
      <c r="X35" s="6"/>
      <c r="Y35" s="6"/>
      <c r="Z35" s="6">
        <v>3.0910000000000002</v>
      </c>
      <c r="AA35" s="6">
        <v>6.1820000000000004</v>
      </c>
      <c r="AB35" s="6"/>
      <c r="AC35" s="6"/>
      <c r="AD35" s="6"/>
      <c r="AE35" s="6"/>
      <c r="AF35" s="6"/>
      <c r="AG35" s="6"/>
      <c r="AH35" s="6">
        <v>8.7110000000000003</v>
      </c>
      <c r="AI35" s="6">
        <v>20.87</v>
      </c>
      <c r="AJ35" s="6">
        <v>1503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7">
        <f t="shared" si="0"/>
        <v>14.493</v>
      </c>
      <c r="AY35" s="7">
        <f t="shared" si="1"/>
        <v>27.052</v>
      </c>
      <c r="AZ35" s="7">
        <f t="shared" si="2"/>
        <v>4194</v>
      </c>
      <c r="BA35">
        <f t="shared" si="3"/>
        <v>291.24763679017451</v>
      </c>
    </row>
    <row r="36" spans="1:53" x14ac:dyDescent="0.3">
      <c r="A36" s="5" t="s">
        <v>51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>
        <f>0.6+0.944</f>
        <v>1.544</v>
      </c>
      <c r="AU36" s="6">
        <v>1.8049999999999999</v>
      </c>
      <c r="AV36" s="6">
        <v>3567.56</v>
      </c>
      <c r="AW36" s="6"/>
      <c r="AX36" s="7">
        <f t="shared" si="0"/>
        <v>1.544</v>
      </c>
      <c r="AY36" s="7">
        <f t="shared" si="1"/>
        <v>1.8049999999999999</v>
      </c>
      <c r="AZ36" s="7">
        <f t="shared" si="2"/>
        <v>3567.56</v>
      </c>
      <c r="BA36">
        <f t="shared" si="3"/>
        <v>2311.7648963730567</v>
      </c>
    </row>
    <row r="37" spans="1:53" x14ac:dyDescent="0.3">
      <c r="A37" s="5" t="s">
        <v>52</v>
      </c>
      <c r="B37" s="6"/>
      <c r="C37" s="6"/>
      <c r="D37" s="6"/>
      <c r="E37" s="6"/>
      <c r="F37" s="6"/>
      <c r="G37" s="6"/>
      <c r="H37" s="6"/>
      <c r="I37" s="6"/>
      <c r="J37" s="6">
        <v>0.52</v>
      </c>
      <c r="K37" s="6"/>
      <c r="L37" s="6">
        <v>1404</v>
      </c>
      <c r="M37" s="6"/>
      <c r="N37" s="6"/>
      <c r="O37" s="6"/>
      <c r="P37" s="6"/>
      <c r="Q37" s="6"/>
      <c r="R37" s="6">
        <v>2.6110000000000002</v>
      </c>
      <c r="S37" s="6"/>
      <c r="T37" s="6">
        <v>3916.5</v>
      </c>
      <c r="U37" s="6"/>
      <c r="V37" s="6">
        <v>0.46800000000000003</v>
      </c>
      <c r="W37" s="6">
        <v>0.64600000000000002</v>
      </c>
      <c r="X37" s="6"/>
      <c r="Y37" s="6"/>
      <c r="Z37" s="6">
        <v>6.1740000000000004</v>
      </c>
      <c r="AA37" s="6">
        <v>52.073999999999998</v>
      </c>
      <c r="AB37" s="6"/>
      <c r="AC37" s="6"/>
      <c r="AD37" s="6"/>
      <c r="AE37" s="6"/>
      <c r="AF37" s="6"/>
      <c r="AG37" s="6"/>
      <c r="AH37" s="6">
        <v>1.6879999999999999</v>
      </c>
      <c r="AI37" s="6"/>
      <c r="AJ37" s="6">
        <v>7764.8</v>
      </c>
      <c r="AK37" s="6"/>
      <c r="AL37" s="6">
        <v>5</v>
      </c>
      <c r="AM37" s="6"/>
      <c r="AN37" s="6">
        <v>11956.8</v>
      </c>
      <c r="AO37" s="6"/>
      <c r="AP37" s="6"/>
      <c r="AQ37" s="6"/>
      <c r="AR37" s="6"/>
      <c r="AS37" s="6"/>
      <c r="AT37" s="6">
        <v>7.46</v>
      </c>
      <c r="AU37" s="6">
        <v>11.19</v>
      </c>
      <c r="AV37" s="6"/>
      <c r="AW37" s="6"/>
      <c r="AX37" s="7">
        <f t="shared" si="0"/>
        <v>23.920999999999999</v>
      </c>
      <c r="AY37" s="7">
        <f t="shared" si="1"/>
        <v>63.91</v>
      </c>
      <c r="AZ37" s="7">
        <f t="shared" si="2"/>
        <v>25042.1</v>
      </c>
      <c r="BA37">
        <f t="shared" si="3"/>
        <v>1049.538480832741</v>
      </c>
    </row>
    <row r="38" spans="1:53" x14ac:dyDescent="0.3">
      <c r="A38" s="10"/>
      <c r="B38" s="11"/>
      <c r="C38" s="11"/>
      <c r="D38" s="11"/>
      <c r="E38" s="6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2"/>
      <c r="AY38" s="12"/>
      <c r="AZ38" s="12"/>
      <c r="BA38" t="e">
        <f t="shared" si="3"/>
        <v>#DIV/0!</v>
      </c>
    </row>
    <row r="39" spans="1:53" x14ac:dyDescent="0.3">
      <c r="A39" s="325" t="s">
        <v>53</v>
      </c>
      <c r="B39" s="321">
        <f>SUM(B4:B38)</f>
        <v>9.9000000000000005E-2</v>
      </c>
      <c r="C39" s="321">
        <f t="shared" ref="C39:AZ39" si="5">SUM(C4:C38)</f>
        <v>0</v>
      </c>
      <c r="D39" s="321">
        <f t="shared" si="5"/>
        <v>120.09</v>
      </c>
      <c r="E39" s="327">
        <f>(D39+C39)/B39</f>
        <v>1213.030303030303</v>
      </c>
      <c r="F39" s="321">
        <f t="shared" si="5"/>
        <v>4.2000000000000003E-2</v>
      </c>
      <c r="G39" s="321">
        <f t="shared" si="5"/>
        <v>0</v>
      </c>
      <c r="H39" s="321">
        <f t="shared" si="5"/>
        <v>365.68</v>
      </c>
      <c r="I39" s="326">
        <f>(H39+G39)/F39</f>
        <v>8706.6666666666661</v>
      </c>
      <c r="J39" s="321">
        <f t="shared" si="5"/>
        <v>18.68</v>
      </c>
      <c r="K39" s="321">
        <f t="shared" si="5"/>
        <v>195.095</v>
      </c>
      <c r="L39" s="321">
        <f t="shared" si="5"/>
        <v>1476.68</v>
      </c>
      <c r="M39" s="329">
        <f>(L39+K39)/J39</f>
        <v>89.495449678800867</v>
      </c>
      <c r="N39" s="321">
        <f t="shared" si="5"/>
        <v>0.114</v>
      </c>
      <c r="O39" s="321">
        <f t="shared" si="5"/>
        <v>0</v>
      </c>
      <c r="P39" s="321">
        <f t="shared" si="5"/>
        <v>319.82</v>
      </c>
      <c r="Q39" s="305">
        <f>(P39+O39)/N39</f>
        <v>2805.4385964912281</v>
      </c>
      <c r="R39" s="321">
        <f t="shared" si="5"/>
        <v>11.657299999999999</v>
      </c>
      <c r="S39" s="321">
        <f t="shared" si="5"/>
        <v>11.41</v>
      </c>
      <c r="T39" s="321">
        <f t="shared" si="5"/>
        <v>10605.470000000001</v>
      </c>
      <c r="U39" s="328">
        <f>(T39+S39)/R39</f>
        <v>910.74948744563505</v>
      </c>
      <c r="V39" s="321">
        <f t="shared" si="5"/>
        <v>41.735250000000008</v>
      </c>
      <c r="W39" s="321">
        <f t="shared" si="5"/>
        <v>206.66914999999997</v>
      </c>
      <c r="X39" s="321">
        <f t="shared" si="5"/>
        <v>0</v>
      </c>
      <c r="Y39" s="329">
        <f>(X39+W39)/V39</f>
        <v>4.9519087581840271</v>
      </c>
      <c r="Z39" s="321">
        <f t="shared" si="5"/>
        <v>43.998749999999994</v>
      </c>
      <c r="AA39" s="321">
        <f t="shared" si="5"/>
        <v>381.98092000000003</v>
      </c>
      <c r="AB39" s="321">
        <f t="shared" si="5"/>
        <v>0</v>
      </c>
      <c r="AC39" s="329">
        <f>(AB39+AA39)/Z39</f>
        <v>8.6816311827040558</v>
      </c>
      <c r="AD39" s="321">
        <f t="shared" si="5"/>
        <v>2.8E-3</v>
      </c>
      <c r="AE39" s="321">
        <f>SUM(AE4:AE38)</f>
        <v>0</v>
      </c>
      <c r="AF39" s="321">
        <f t="shared" si="5"/>
        <v>0.27849999999999997</v>
      </c>
      <c r="AG39" s="328">
        <f>(AF39+AE39)/AD39</f>
        <v>99.464285714285708</v>
      </c>
      <c r="AH39" s="321">
        <f t="shared" si="5"/>
        <v>27.866800000000001</v>
      </c>
      <c r="AI39" s="321">
        <f t="shared" si="5"/>
        <v>66.167240000000007</v>
      </c>
      <c r="AJ39" s="321">
        <f t="shared" si="5"/>
        <v>27401.079999999998</v>
      </c>
      <c r="AK39" s="328">
        <f>(AJ39+AI39)/AH39</f>
        <v>985.6620508992778</v>
      </c>
      <c r="AL39" s="321">
        <f t="shared" si="5"/>
        <v>12.4504</v>
      </c>
      <c r="AM39" s="321">
        <f t="shared" si="5"/>
        <v>39.34579999999999</v>
      </c>
      <c r="AN39" s="321">
        <f t="shared" si="5"/>
        <v>14012.59</v>
      </c>
      <c r="AO39" s="328">
        <f>(AN39+AM39)/AL39</f>
        <v>1128.6332808584461</v>
      </c>
      <c r="AP39" s="321">
        <f t="shared" si="5"/>
        <v>1.2E-2</v>
      </c>
      <c r="AQ39" s="321">
        <f t="shared" si="5"/>
        <v>0</v>
      </c>
      <c r="AR39" s="321">
        <f t="shared" si="5"/>
        <v>40</v>
      </c>
      <c r="AS39" s="305">
        <f>(AR39+AQ39)/AP39</f>
        <v>3333.3333333333335</v>
      </c>
      <c r="AT39" s="321">
        <f t="shared" si="5"/>
        <v>96.988599999999991</v>
      </c>
      <c r="AU39" s="321">
        <f t="shared" si="5"/>
        <v>750.94279999999992</v>
      </c>
      <c r="AV39" s="321">
        <f t="shared" si="5"/>
        <v>20724.292000000001</v>
      </c>
      <c r="AW39" s="321">
        <f>(AV39+AU39)/AT39</f>
        <v>221.42019577558605</v>
      </c>
      <c r="AX39" s="321">
        <f t="shared" si="5"/>
        <v>253.64689999999996</v>
      </c>
      <c r="AY39" s="321">
        <f t="shared" si="5"/>
        <v>1651.6109100000001</v>
      </c>
      <c r="AZ39" s="321">
        <f t="shared" si="5"/>
        <v>75065.980500000005</v>
      </c>
      <c r="BA39">
        <f>(AZ39+AY39)/AX39</f>
        <v>302.4582260220804</v>
      </c>
    </row>
    <row r="40" spans="1:53" x14ac:dyDescent="0.3">
      <c r="A40" s="322" t="s">
        <v>54</v>
      </c>
      <c r="B40" s="323"/>
      <c r="C40" s="323"/>
      <c r="D40" s="323"/>
      <c r="E40" s="323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D40" s="323"/>
      <c r="AE40" s="323"/>
      <c r="AF40" s="323"/>
      <c r="AG40" s="323"/>
      <c r="AH40" s="323"/>
      <c r="AI40" s="323"/>
      <c r="AJ40" s="323"/>
      <c r="AK40" s="323"/>
      <c r="AL40" s="323"/>
      <c r="AM40" s="323"/>
      <c r="AN40" s="323"/>
      <c r="AO40" s="323"/>
      <c r="AP40" s="323"/>
      <c r="AQ40" s="323"/>
      <c r="AR40" s="323"/>
      <c r="AS40" s="323"/>
      <c r="AT40" s="323"/>
      <c r="AU40" s="323"/>
      <c r="AV40" s="323"/>
      <c r="AW40" s="323"/>
      <c r="AX40" s="323"/>
      <c r="AY40" s="323"/>
      <c r="AZ40" s="323"/>
      <c r="BA40" s="323"/>
    </row>
    <row r="41" spans="1:53" ht="27" x14ac:dyDescent="0.3">
      <c r="A41" s="324" t="s">
        <v>55</v>
      </c>
      <c r="B41" s="323"/>
      <c r="C41" s="323"/>
      <c r="D41" s="323"/>
      <c r="E41" s="323"/>
      <c r="F41" s="323"/>
      <c r="G41" s="323"/>
      <c r="H41" s="323"/>
      <c r="I41" s="323"/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3"/>
      <c r="AA41" s="323"/>
      <c r="AB41" s="323"/>
      <c r="AC41" s="323"/>
      <c r="AD41" s="323"/>
      <c r="AE41" s="323"/>
      <c r="AF41" s="323"/>
      <c r="AG41" s="323"/>
      <c r="AH41" s="323"/>
      <c r="AI41" s="323"/>
      <c r="AJ41" s="323"/>
      <c r="AK41" s="323"/>
      <c r="AL41" s="323"/>
      <c r="AM41" s="323"/>
      <c r="AN41" s="323"/>
      <c r="AO41" s="323"/>
      <c r="AP41" s="323"/>
      <c r="AQ41" s="323"/>
      <c r="AR41" s="323"/>
      <c r="AS41" s="323"/>
      <c r="AT41" s="323"/>
      <c r="AU41" s="323"/>
      <c r="AV41" s="323"/>
      <c r="AW41" s="323"/>
      <c r="AX41" s="323"/>
      <c r="AY41" s="323"/>
      <c r="AZ41" s="323"/>
    </row>
    <row r="42" spans="1:53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</sheetData>
  <mergeCells count="14">
    <mergeCell ref="V1:X1"/>
    <mergeCell ref="B1:D1"/>
    <mergeCell ref="F1:H1"/>
    <mergeCell ref="J1:L1"/>
    <mergeCell ref="N1:P1"/>
    <mergeCell ref="R1:T1"/>
    <mergeCell ref="AX1:AZ1"/>
    <mergeCell ref="AY2:AZ2"/>
    <mergeCell ref="Z1:AB1"/>
    <mergeCell ref="AD1:AF1"/>
    <mergeCell ref="AH1:AJ1"/>
    <mergeCell ref="AL1:AN1"/>
    <mergeCell ref="AP1:AR1"/>
    <mergeCell ref="AT1:A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2334-AF89-42D9-9010-A281CA81FE05}">
  <dimension ref="A1:AZ43"/>
  <sheetViews>
    <sheetView topLeftCell="N25" workbookViewId="0">
      <selection activeCell="U39" sqref="U39"/>
    </sheetView>
  </sheetViews>
  <sheetFormatPr defaultRowHeight="14.4" x14ac:dyDescent="0.3"/>
  <cols>
    <col min="1" max="1" width="23.6640625" bestFit="1" customWidth="1"/>
  </cols>
  <sheetData>
    <row r="1" spans="1:52" x14ac:dyDescent="0.3">
      <c r="A1" s="13" t="s">
        <v>0</v>
      </c>
      <c r="B1" s="384" t="s">
        <v>1</v>
      </c>
      <c r="C1" s="385"/>
      <c r="D1" s="386"/>
      <c r="E1" s="311"/>
      <c r="F1" s="384" t="s">
        <v>2</v>
      </c>
      <c r="G1" s="385"/>
      <c r="H1" s="386"/>
      <c r="I1" s="311"/>
      <c r="J1" s="384" t="s">
        <v>3</v>
      </c>
      <c r="K1" s="385"/>
      <c r="L1" s="386"/>
      <c r="M1" s="311"/>
      <c r="N1" s="384" t="s">
        <v>4</v>
      </c>
      <c r="O1" s="385"/>
      <c r="P1" s="386"/>
      <c r="Q1" s="311"/>
      <c r="R1" s="384" t="s">
        <v>5</v>
      </c>
      <c r="S1" s="385"/>
      <c r="T1" s="386"/>
      <c r="U1" s="312"/>
      <c r="V1" s="383" t="s">
        <v>6</v>
      </c>
      <c r="W1" s="383"/>
      <c r="X1" s="383"/>
      <c r="Y1" s="310"/>
      <c r="Z1" s="384" t="s">
        <v>7</v>
      </c>
      <c r="AA1" s="385"/>
      <c r="AB1" s="386"/>
      <c r="AC1" s="311"/>
      <c r="AD1" s="384" t="s">
        <v>8</v>
      </c>
      <c r="AE1" s="385"/>
      <c r="AF1" s="386"/>
      <c r="AG1" s="312"/>
      <c r="AH1" s="383" t="s">
        <v>9</v>
      </c>
      <c r="AI1" s="383"/>
      <c r="AJ1" s="383"/>
      <c r="AK1" s="310"/>
      <c r="AL1" s="384" t="s">
        <v>10</v>
      </c>
      <c r="AM1" s="385"/>
      <c r="AN1" s="386"/>
      <c r="AO1" s="311"/>
      <c r="AP1" s="384" t="s">
        <v>11</v>
      </c>
      <c r="AQ1" s="385"/>
      <c r="AR1" s="386"/>
      <c r="AS1" s="311"/>
      <c r="AT1" s="384" t="s">
        <v>12</v>
      </c>
      <c r="AU1" s="385"/>
      <c r="AV1" s="386"/>
      <c r="AW1" s="383" t="s">
        <v>13</v>
      </c>
      <c r="AX1" s="383"/>
      <c r="AY1" s="383"/>
    </row>
    <row r="2" spans="1:52" x14ac:dyDescent="0.3">
      <c r="A2" s="14"/>
      <c r="B2" s="13" t="s">
        <v>14</v>
      </c>
      <c r="C2" s="13" t="s">
        <v>15</v>
      </c>
      <c r="D2" s="13" t="s">
        <v>15</v>
      </c>
      <c r="E2" s="13"/>
      <c r="F2" s="13" t="s">
        <v>14</v>
      </c>
      <c r="G2" s="13" t="s">
        <v>15</v>
      </c>
      <c r="H2" s="13" t="s">
        <v>15</v>
      </c>
      <c r="I2" s="13"/>
      <c r="J2" s="13" t="s">
        <v>14</v>
      </c>
      <c r="K2" s="13" t="s">
        <v>15</v>
      </c>
      <c r="L2" s="13" t="s">
        <v>15</v>
      </c>
      <c r="M2" s="13"/>
      <c r="N2" s="13" t="s">
        <v>14</v>
      </c>
      <c r="O2" s="13" t="s">
        <v>15</v>
      </c>
      <c r="P2" s="13" t="s">
        <v>15</v>
      </c>
      <c r="Q2" s="13"/>
      <c r="R2" s="13" t="s">
        <v>14</v>
      </c>
      <c r="S2" s="13" t="s">
        <v>15</v>
      </c>
      <c r="T2" s="13" t="s">
        <v>15</v>
      </c>
      <c r="U2" s="13"/>
      <c r="V2" s="13" t="s">
        <v>14</v>
      </c>
      <c r="W2" s="13" t="s">
        <v>15</v>
      </c>
      <c r="X2" s="13" t="s">
        <v>15</v>
      </c>
      <c r="Y2" s="13"/>
      <c r="Z2" s="13" t="s">
        <v>14</v>
      </c>
      <c r="AA2" s="13" t="s">
        <v>15</v>
      </c>
      <c r="AB2" s="13" t="s">
        <v>15</v>
      </c>
      <c r="AC2" s="13"/>
      <c r="AD2" s="13" t="s">
        <v>14</v>
      </c>
      <c r="AE2" s="13" t="s">
        <v>15</v>
      </c>
      <c r="AF2" s="13" t="s">
        <v>15</v>
      </c>
      <c r="AG2" s="13"/>
      <c r="AH2" s="13" t="s">
        <v>14</v>
      </c>
      <c r="AI2" s="13" t="s">
        <v>15</v>
      </c>
      <c r="AJ2" s="13" t="s">
        <v>15</v>
      </c>
      <c r="AK2" s="13"/>
      <c r="AL2" s="13" t="s">
        <v>14</v>
      </c>
      <c r="AM2" s="13" t="s">
        <v>15</v>
      </c>
      <c r="AN2" s="13" t="s">
        <v>15</v>
      </c>
      <c r="AO2" s="13"/>
      <c r="AP2" s="13" t="s">
        <v>14</v>
      </c>
      <c r="AQ2" s="13" t="s">
        <v>15</v>
      </c>
      <c r="AR2" s="13" t="s">
        <v>15</v>
      </c>
      <c r="AS2" s="13"/>
      <c r="AT2" s="13" t="s">
        <v>14</v>
      </c>
      <c r="AU2" s="13" t="s">
        <v>15</v>
      </c>
      <c r="AV2" s="13" t="s">
        <v>15</v>
      </c>
      <c r="AW2" s="13" t="s">
        <v>14</v>
      </c>
      <c r="AX2" s="383" t="s">
        <v>15</v>
      </c>
      <c r="AY2" s="383"/>
    </row>
    <row r="3" spans="1:52" x14ac:dyDescent="0.3">
      <c r="A3" s="14"/>
      <c r="B3" s="15"/>
      <c r="C3" s="15" t="s">
        <v>16</v>
      </c>
      <c r="D3" s="15" t="s">
        <v>17</v>
      </c>
      <c r="E3" s="15"/>
      <c r="F3" s="15"/>
      <c r="G3" s="15" t="s">
        <v>16</v>
      </c>
      <c r="H3" s="15" t="s">
        <v>17</v>
      </c>
      <c r="I3" s="15"/>
      <c r="J3" s="15"/>
      <c r="K3" s="15" t="s">
        <v>16</v>
      </c>
      <c r="L3" s="15" t="s">
        <v>17</v>
      </c>
      <c r="M3" s="15"/>
      <c r="N3" s="15"/>
      <c r="O3" s="15" t="s">
        <v>16</v>
      </c>
      <c r="P3" s="15" t="s">
        <v>17</v>
      </c>
      <c r="Q3" s="15"/>
      <c r="R3" s="15"/>
      <c r="S3" s="15" t="s">
        <v>16</v>
      </c>
      <c r="T3" s="15" t="s">
        <v>17</v>
      </c>
      <c r="U3" s="15"/>
      <c r="V3" s="15"/>
      <c r="W3" s="15" t="s">
        <v>16</v>
      </c>
      <c r="X3" s="15" t="s">
        <v>17</v>
      </c>
      <c r="Y3" s="15"/>
      <c r="Z3" s="15"/>
      <c r="AA3" s="15" t="s">
        <v>16</v>
      </c>
      <c r="AB3" s="15" t="s">
        <v>17</v>
      </c>
      <c r="AC3" s="15"/>
      <c r="AD3" s="15"/>
      <c r="AE3" s="15" t="s">
        <v>16</v>
      </c>
      <c r="AF3" s="15" t="s">
        <v>17</v>
      </c>
      <c r="AG3" s="15"/>
      <c r="AH3" s="15"/>
      <c r="AI3" s="15" t="s">
        <v>16</v>
      </c>
      <c r="AJ3" s="15" t="s">
        <v>17</v>
      </c>
      <c r="AK3" s="15"/>
      <c r="AL3" s="15"/>
      <c r="AM3" s="15" t="s">
        <v>16</v>
      </c>
      <c r="AN3" s="15" t="s">
        <v>17</v>
      </c>
      <c r="AO3" s="15"/>
      <c r="AP3" s="15"/>
      <c r="AQ3" s="15" t="s">
        <v>16</v>
      </c>
      <c r="AR3" s="15" t="s">
        <v>17</v>
      </c>
      <c r="AS3" s="15"/>
      <c r="AT3" s="15"/>
      <c r="AU3" s="15" t="s">
        <v>18</v>
      </c>
      <c r="AV3" s="15" t="s">
        <v>17</v>
      </c>
      <c r="AW3" s="16"/>
      <c r="AX3" s="13" t="s">
        <v>18</v>
      </c>
      <c r="AY3" s="13" t="s">
        <v>17</v>
      </c>
    </row>
    <row r="4" spans="1:52" x14ac:dyDescent="0.3">
      <c r="A4" s="17" t="s">
        <v>19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>
        <v>0.01</v>
      </c>
      <c r="W4" s="18">
        <v>0.01</v>
      </c>
      <c r="X4" s="18"/>
      <c r="Y4" s="18"/>
      <c r="Z4" s="18">
        <v>0.01</v>
      </c>
      <c r="AA4" s="18">
        <v>0.1</v>
      </c>
      <c r="AB4" s="18"/>
      <c r="AC4" s="18"/>
      <c r="AD4" s="18"/>
      <c r="AE4" s="18"/>
      <c r="AF4" s="18"/>
      <c r="AG4" s="18"/>
      <c r="AH4" s="18">
        <v>0</v>
      </c>
      <c r="AI4" s="18">
        <v>0.04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>
        <v>0.02</v>
      </c>
      <c r="AU4" s="18">
        <v>0.2</v>
      </c>
      <c r="AV4" s="18"/>
      <c r="AW4" s="19">
        <f t="shared" ref="AW4:AW37" si="0">B4+F4+J4+N4+R4+V4+Z4+AD4+AH4+AL4+AP4+AT4</f>
        <v>0.04</v>
      </c>
      <c r="AX4" s="19">
        <f t="shared" ref="AX4:AX37" si="1">C4+G4+K4+O4+S4+W4+AA4+AE4+AI4+AM4+AQ4+AU4</f>
        <v>0.35</v>
      </c>
      <c r="AY4" s="19">
        <f t="shared" ref="AY4:AY37" si="2">D4+H4+L4+P4+T4+X4+AB4+AF4+AJ4+AN4+AR4+AV4</f>
        <v>0</v>
      </c>
      <c r="AZ4">
        <f>(AY4+AX4)/AW4</f>
        <v>8.75</v>
      </c>
    </row>
    <row r="5" spans="1:52" x14ac:dyDescent="0.3">
      <c r="A5" s="17" t="s">
        <v>20</v>
      </c>
      <c r="B5" s="18"/>
      <c r="C5" s="18"/>
      <c r="D5" s="18"/>
      <c r="E5" s="18"/>
      <c r="F5" s="18"/>
      <c r="G5" s="18"/>
      <c r="H5" s="18"/>
      <c r="I5" s="18"/>
      <c r="J5" s="18">
        <v>9.5969999999999995</v>
      </c>
      <c r="K5" s="18">
        <v>95.97</v>
      </c>
      <c r="L5" s="18"/>
      <c r="M5" s="18"/>
      <c r="N5" s="18"/>
      <c r="O5" s="18"/>
      <c r="P5" s="18"/>
      <c r="Q5" s="18"/>
      <c r="R5" s="18">
        <v>1.9E-2</v>
      </c>
      <c r="S5" s="18"/>
      <c r="T5" s="18">
        <v>10</v>
      </c>
      <c r="U5" s="18"/>
      <c r="V5" s="18">
        <v>3.496</v>
      </c>
      <c r="W5" s="18">
        <v>17.472999999999999</v>
      </c>
      <c r="X5" s="18"/>
      <c r="Y5" s="18"/>
      <c r="Z5" s="18">
        <v>4.8019999999999996</v>
      </c>
      <c r="AA5" s="18">
        <v>38.411999999999999</v>
      </c>
      <c r="AB5" s="18"/>
      <c r="AC5" s="18"/>
      <c r="AD5" s="18"/>
      <c r="AE5" s="18"/>
      <c r="AF5" s="18"/>
      <c r="AG5" s="18"/>
      <c r="AH5" s="18">
        <v>2.2999999999999998</v>
      </c>
      <c r="AI5" s="18"/>
      <c r="AJ5" s="18">
        <v>6899</v>
      </c>
      <c r="AK5" s="18"/>
      <c r="AL5" s="18">
        <v>2.3860000000000001</v>
      </c>
      <c r="AM5" s="18">
        <v>14.314</v>
      </c>
      <c r="AN5" s="18"/>
      <c r="AO5" s="18"/>
      <c r="AP5" s="18"/>
      <c r="AQ5" s="18"/>
      <c r="AR5" s="18"/>
      <c r="AS5" s="18"/>
      <c r="AT5" s="18">
        <f>2.01+10.24</f>
        <v>12.25</v>
      </c>
      <c r="AU5" s="18">
        <f>7.035+51.202</f>
        <v>58.236999999999995</v>
      </c>
      <c r="AV5" s="18"/>
      <c r="AW5" s="19">
        <f t="shared" si="0"/>
        <v>34.85</v>
      </c>
      <c r="AX5" s="19">
        <f t="shared" si="1"/>
        <v>224.40599999999998</v>
      </c>
      <c r="AY5" s="19">
        <f t="shared" si="2"/>
        <v>6909</v>
      </c>
      <c r="AZ5">
        <f t="shared" ref="AZ5:AZ39" si="3">(AY5+AX5)/AW5</f>
        <v>204.68883787661406</v>
      </c>
    </row>
    <row r="6" spans="1:52" x14ac:dyDescent="0.3">
      <c r="A6" s="20" t="s">
        <v>56</v>
      </c>
      <c r="B6" s="18">
        <v>4.5999999999999999E-3</v>
      </c>
      <c r="C6" s="18"/>
      <c r="D6" s="18">
        <v>116</v>
      </c>
      <c r="E6" s="18"/>
      <c r="F6" s="18"/>
      <c r="G6" s="18"/>
      <c r="H6" s="18"/>
      <c r="I6" s="18"/>
      <c r="J6" s="18"/>
      <c r="K6" s="18"/>
      <c r="L6" s="18"/>
      <c r="M6" s="18"/>
      <c r="N6" s="18">
        <v>4.0000000000000001E-3</v>
      </c>
      <c r="O6" s="18"/>
      <c r="P6" s="18">
        <v>88</v>
      </c>
      <c r="Q6" s="18"/>
      <c r="R6" s="18"/>
      <c r="S6" s="18"/>
      <c r="T6" s="18"/>
      <c r="U6" s="18"/>
      <c r="V6" s="18"/>
      <c r="W6" s="18"/>
      <c r="X6" s="18"/>
      <c r="Y6" s="18"/>
      <c r="Z6" s="18">
        <v>0.01</v>
      </c>
      <c r="AA6" s="18">
        <v>9.7999999999999997E-3</v>
      </c>
      <c r="AB6" s="18"/>
      <c r="AC6" s="18"/>
      <c r="AD6" s="18"/>
      <c r="AE6" s="18"/>
      <c r="AF6" s="18"/>
      <c r="AG6" s="18"/>
      <c r="AH6" s="18">
        <v>4.4999999999999997E-3</v>
      </c>
      <c r="AI6" s="18"/>
      <c r="AJ6" s="18">
        <v>93</v>
      </c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9">
        <f t="shared" si="0"/>
        <v>2.3099999999999999E-2</v>
      </c>
      <c r="AX6" s="19">
        <f t="shared" si="1"/>
        <v>9.7999999999999997E-3</v>
      </c>
      <c r="AY6" s="19">
        <f t="shared" si="2"/>
        <v>297</v>
      </c>
      <c r="AZ6">
        <f t="shared" si="3"/>
        <v>12857.567099567099</v>
      </c>
    </row>
    <row r="7" spans="1:52" x14ac:dyDescent="0.3">
      <c r="A7" s="17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>
        <v>1.8</v>
      </c>
      <c r="AU7" s="18">
        <v>11.7</v>
      </c>
      <c r="AV7" s="18">
        <v>3750</v>
      </c>
      <c r="AW7" s="19">
        <f t="shared" si="0"/>
        <v>1.8</v>
      </c>
      <c r="AX7" s="19">
        <f t="shared" si="1"/>
        <v>11.7</v>
      </c>
      <c r="AY7" s="19">
        <f t="shared" si="2"/>
        <v>3750</v>
      </c>
      <c r="AZ7">
        <f t="shared" si="3"/>
        <v>2089.833333333333</v>
      </c>
    </row>
    <row r="8" spans="1:52" x14ac:dyDescent="0.3">
      <c r="A8" s="17" t="s">
        <v>23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>
        <f>0.18+0.84</f>
        <v>1.02</v>
      </c>
      <c r="AU8" s="18">
        <v>10.151999999999999</v>
      </c>
      <c r="AV8" s="18">
        <v>324</v>
      </c>
      <c r="AW8" s="19">
        <f t="shared" si="0"/>
        <v>1.02</v>
      </c>
      <c r="AX8" s="19">
        <f t="shared" si="1"/>
        <v>10.151999999999999</v>
      </c>
      <c r="AY8" s="19">
        <f t="shared" si="2"/>
        <v>324</v>
      </c>
      <c r="AZ8">
        <f t="shared" si="3"/>
        <v>327.59999999999997</v>
      </c>
    </row>
    <row r="9" spans="1:52" x14ac:dyDescent="0.3">
      <c r="A9" s="17" t="s">
        <v>57</v>
      </c>
      <c r="B9" s="18"/>
      <c r="C9" s="18"/>
      <c r="D9" s="18"/>
      <c r="E9" s="18"/>
      <c r="F9" s="18"/>
      <c r="G9" s="18"/>
      <c r="H9" s="18"/>
      <c r="I9" s="18"/>
      <c r="J9" s="18">
        <v>0.25</v>
      </c>
      <c r="K9" s="18">
        <v>0.74</v>
      </c>
      <c r="L9" s="18"/>
      <c r="M9" s="18"/>
      <c r="N9" s="18"/>
      <c r="O9" s="18"/>
      <c r="P9" s="18"/>
      <c r="Q9" s="18"/>
      <c r="R9" s="18">
        <v>1.98</v>
      </c>
      <c r="S9" s="18">
        <v>5.18</v>
      </c>
      <c r="T9" s="18"/>
      <c r="U9" s="18"/>
      <c r="V9" s="18">
        <v>0.03</v>
      </c>
      <c r="W9" s="18">
        <v>0.05</v>
      </c>
      <c r="X9" s="18"/>
      <c r="Y9" s="18"/>
      <c r="Z9" s="18">
        <v>3.13</v>
      </c>
      <c r="AA9" s="18">
        <v>19.93</v>
      </c>
      <c r="AB9" s="18"/>
      <c r="AC9" s="18"/>
      <c r="AD9" s="18"/>
      <c r="AE9" s="18"/>
      <c r="AF9" s="18"/>
      <c r="AG9" s="18"/>
      <c r="AH9" s="18">
        <v>1</v>
      </c>
      <c r="AI9" s="18">
        <v>2.4</v>
      </c>
      <c r="AJ9" s="18"/>
      <c r="AK9" s="18"/>
      <c r="AL9" s="18">
        <v>1.79</v>
      </c>
      <c r="AM9" s="18">
        <v>5.91</v>
      </c>
      <c r="AN9" s="18"/>
      <c r="AO9" s="18"/>
      <c r="AP9" s="18"/>
      <c r="AQ9" s="18"/>
      <c r="AR9" s="18"/>
      <c r="AS9" s="18"/>
      <c r="AT9" s="18">
        <f>0.22+1.39</f>
        <v>1.6099999999999999</v>
      </c>
      <c r="AU9" s="18">
        <f>0.96+2.58</f>
        <v>3.54</v>
      </c>
      <c r="AV9" s="18"/>
      <c r="AW9" s="19">
        <f t="shared" si="0"/>
        <v>9.7899999999999991</v>
      </c>
      <c r="AX9" s="19">
        <f t="shared" si="1"/>
        <v>37.749999999999993</v>
      </c>
      <c r="AY9" s="19">
        <f t="shared" si="2"/>
        <v>0</v>
      </c>
      <c r="AZ9">
        <f t="shared" si="3"/>
        <v>3.855975485188968</v>
      </c>
    </row>
    <row r="10" spans="1:52" x14ac:dyDescent="0.3">
      <c r="A10" s="17" t="s">
        <v>25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9">
        <f t="shared" si="0"/>
        <v>0</v>
      </c>
      <c r="AX10" s="19">
        <f t="shared" si="1"/>
        <v>0</v>
      </c>
      <c r="AY10" s="19">
        <f t="shared" si="2"/>
        <v>0</v>
      </c>
      <c r="AZ10" t="e">
        <f t="shared" si="3"/>
        <v>#DIV/0!</v>
      </c>
    </row>
    <row r="11" spans="1:52" x14ac:dyDescent="0.3">
      <c r="A11" s="17" t="s">
        <v>26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9">
        <f t="shared" si="0"/>
        <v>0</v>
      </c>
      <c r="AX11" s="19">
        <f t="shared" si="1"/>
        <v>0</v>
      </c>
      <c r="AY11" s="19">
        <f t="shared" si="2"/>
        <v>0</v>
      </c>
      <c r="AZ11" t="e">
        <f t="shared" si="3"/>
        <v>#DIV/0!</v>
      </c>
    </row>
    <row r="12" spans="1:52" x14ac:dyDescent="0.3">
      <c r="A12" s="17" t="s">
        <v>27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>
        <v>5.5</v>
      </c>
      <c r="AU12" s="18">
        <v>5.7</v>
      </c>
      <c r="AV12" s="18">
        <v>1038</v>
      </c>
      <c r="AW12" s="19">
        <f t="shared" si="0"/>
        <v>5.5</v>
      </c>
      <c r="AX12" s="19">
        <f t="shared" si="1"/>
        <v>5.7</v>
      </c>
      <c r="AY12" s="19">
        <f t="shared" si="2"/>
        <v>1038</v>
      </c>
      <c r="AZ12">
        <f t="shared" si="3"/>
        <v>189.76363636363638</v>
      </c>
    </row>
    <row r="13" spans="1:52" x14ac:dyDescent="0.3">
      <c r="A13" s="17" t="s">
        <v>28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9">
        <f t="shared" si="0"/>
        <v>0</v>
      </c>
      <c r="AX13" s="19">
        <f t="shared" si="1"/>
        <v>0</v>
      </c>
      <c r="AY13" s="19">
        <f t="shared" si="2"/>
        <v>0</v>
      </c>
      <c r="AZ13" t="e">
        <f t="shared" si="3"/>
        <v>#DIV/0!</v>
      </c>
    </row>
    <row r="14" spans="1:52" x14ac:dyDescent="0.3">
      <c r="A14" s="17" t="s">
        <v>29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>
        <v>7.01</v>
      </c>
      <c r="AA14" s="18">
        <v>66.540000000000006</v>
      </c>
      <c r="AB14" s="18"/>
      <c r="AC14" s="18"/>
      <c r="AD14" s="18"/>
      <c r="AE14" s="18"/>
      <c r="AF14" s="18"/>
      <c r="AG14" s="18"/>
      <c r="AH14" s="18">
        <v>4.42</v>
      </c>
      <c r="AI14" s="18">
        <v>35.479999999999997</v>
      </c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>
        <v>5.84</v>
      </c>
      <c r="AU14" s="18">
        <v>47.25</v>
      </c>
      <c r="AV14" s="18"/>
      <c r="AW14" s="19">
        <f t="shared" si="0"/>
        <v>17.27</v>
      </c>
      <c r="AX14" s="19">
        <f t="shared" si="1"/>
        <v>149.27000000000001</v>
      </c>
      <c r="AY14" s="19">
        <f t="shared" si="2"/>
        <v>0</v>
      </c>
      <c r="AZ14">
        <f t="shared" si="3"/>
        <v>8.6433121019108281</v>
      </c>
    </row>
    <row r="15" spans="1:52" x14ac:dyDescent="0.3">
      <c r="A15" s="17" t="s">
        <v>30</v>
      </c>
      <c r="B15" s="18"/>
      <c r="C15" s="18"/>
      <c r="D15" s="18"/>
      <c r="E15" s="18"/>
      <c r="F15" s="18"/>
      <c r="G15" s="18"/>
      <c r="H15" s="18"/>
      <c r="I15" s="18"/>
      <c r="J15" s="18">
        <v>0.11</v>
      </c>
      <c r="K15" s="18">
        <v>0.4</v>
      </c>
      <c r="L15" s="18">
        <v>20.329999999999998</v>
      </c>
      <c r="M15" s="18"/>
      <c r="N15" s="18">
        <v>4.0000000000000001E-3</v>
      </c>
      <c r="O15" s="18"/>
      <c r="P15" s="18">
        <v>2.4</v>
      </c>
      <c r="Q15" s="18"/>
      <c r="R15" s="18">
        <v>0.64</v>
      </c>
      <c r="S15" s="18"/>
      <c r="T15" s="18">
        <v>826.95</v>
      </c>
      <c r="U15" s="18"/>
      <c r="V15" s="18"/>
      <c r="W15" s="18"/>
      <c r="X15" s="18"/>
      <c r="Y15" s="18"/>
      <c r="Z15" s="18">
        <v>5.37</v>
      </c>
      <c r="AA15" s="18">
        <v>63.73</v>
      </c>
      <c r="AB15" s="18"/>
      <c r="AC15" s="18"/>
      <c r="AD15" s="18"/>
      <c r="AE15" s="18"/>
      <c r="AF15" s="18"/>
      <c r="AG15" s="18"/>
      <c r="AH15" s="18">
        <v>0.12</v>
      </c>
      <c r="AI15" s="18">
        <v>0.39</v>
      </c>
      <c r="AJ15" s="18">
        <v>154.69999999999999</v>
      </c>
      <c r="AK15" s="18"/>
      <c r="AL15" s="18">
        <v>0.12</v>
      </c>
      <c r="AM15" s="18"/>
      <c r="AN15" s="18">
        <v>130.80000000000001</v>
      </c>
      <c r="AO15" s="18"/>
      <c r="AP15" s="18"/>
      <c r="AQ15" s="18"/>
      <c r="AR15" s="18"/>
      <c r="AS15" s="18"/>
      <c r="AT15" s="18">
        <f>0.002+0.1</f>
        <v>0.10200000000000001</v>
      </c>
      <c r="AU15" s="18">
        <v>0.2</v>
      </c>
      <c r="AV15" s="18">
        <f>2.4+133</f>
        <v>135.4</v>
      </c>
      <c r="AW15" s="19">
        <f t="shared" si="0"/>
        <v>6.4660000000000011</v>
      </c>
      <c r="AX15" s="19">
        <f t="shared" si="1"/>
        <v>64.72</v>
      </c>
      <c r="AY15" s="19">
        <f t="shared" si="2"/>
        <v>1270.5800000000002</v>
      </c>
      <c r="AZ15">
        <f t="shared" si="3"/>
        <v>206.510980513455</v>
      </c>
    </row>
    <row r="16" spans="1:52" x14ac:dyDescent="0.3">
      <c r="A16" s="17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>
        <f>0.345+0.569</f>
        <v>0.91399999999999992</v>
      </c>
      <c r="AU16" s="18">
        <v>37.707000000000001</v>
      </c>
      <c r="AV16" s="18">
        <v>1760.3</v>
      </c>
      <c r="AW16" s="19">
        <f t="shared" si="0"/>
        <v>0.91399999999999992</v>
      </c>
      <c r="AX16" s="19">
        <f t="shared" si="1"/>
        <v>37.707000000000001</v>
      </c>
      <c r="AY16" s="19">
        <f t="shared" si="2"/>
        <v>1760.3</v>
      </c>
      <c r="AZ16">
        <f t="shared" si="3"/>
        <v>1967.1849015317289</v>
      </c>
    </row>
    <row r="17" spans="1:52" x14ac:dyDescent="0.3">
      <c r="A17" s="17" t="s">
        <v>32</v>
      </c>
      <c r="B17" s="18">
        <v>3.5E-4</v>
      </c>
      <c r="C17" s="18">
        <v>2.0000000000000001E-4</v>
      </c>
      <c r="D17" s="18"/>
      <c r="E17" s="18"/>
      <c r="F17" s="18">
        <v>4.0000000000000001E-3</v>
      </c>
      <c r="G17" s="18"/>
      <c r="H17" s="18">
        <v>25</v>
      </c>
      <c r="I17" s="18"/>
      <c r="J17" s="18">
        <v>5.0000000000000001E-4</v>
      </c>
      <c r="K17" s="18"/>
      <c r="L17" s="18">
        <v>10.25</v>
      </c>
      <c r="M17" s="18"/>
      <c r="N17" s="18">
        <v>2E-3</v>
      </c>
      <c r="O17" s="18"/>
      <c r="P17" s="18">
        <v>5</v>
      </c>
      <c r="Q17" s="18"/>
      <c r="R17" s="18">
        <f>0.03+0.0075</f>
        <v>3.7499999999999999E-2</v>
      </c>
      <c r="S17" s="18"/>
      <c r="T17" s="18">
        <f>62+7.6</f>
        <v>69.599999999999994</v>
      </c>
      <c r="U17" s="18"/>
      <c r="V17" s="18">
        <v>5.0000000000000001E-4</v>
      </c>
      <c r="W17" s="18">
        <v>1.0000000000000001E-5</v>
      </c>
      <c r="X17" s="18"/>
      <c r="Y17" s="18"/>
      <c r="Z17" s="18">
        <f>0.015+0.716</f>
        <v>0.73099999999999998</v>
      </c>
      <c r="AA17" s="18">
        <f>0.31+0.017</f>
        <v>0.32700000000000001</v>
      </c>
      <c r="AB17" s="18"/>
      <c r="AC17" s="18"/>
      <c r="AD17" s="18"/>
      <c r="AE17" s="18"/>
      <c r="AF17" s="18"/>
      <c r="AG17" s="18"/>
      <c r="AH17" s="18">
        <v>1.9E-2</v>
      </c>
      <c r="AI17" s="18"/>
      <c r="AJ17" s="18">
        <v>33.15</v>
      </c>
      <c r="AK17" s="18"/>
      <c r="AL17" s="18">
        <f>0.0002+0.0003</f>
        <v>5.0000000000000001E-4</v>
      </c>
      <c r="AM17" s="18">
        <f>0.00003</f>
        <v>3.0000000000000001E-5</v>
      </c>
      <c r="AN17" s="18">
        <v>0.8</v>
      </c>
      <c r="AO17" s="18"/>
      <c r="AP17" s="18">
        <v>1.7999999999999999E-2</v>
      </c>
      <c r="AQ17" s="18"/>
      <c r="AR17" s="18">
        <v>45.1</v>
      </c>
      <c r="AS17" s="18"/>
      <c r="AT17" s="18">
        <f>0.001+0.02+0.0015+0.011+0.002+0.005+0.00005</f>
        <v>4.0550000000000003E-2</v>
      </c>
      <c r="AU17" s="18">
        <f>0.06+0.015</f>
        <v>7.4999999999999997E-2</v>
      </c>
      <c r="AV17" s="18">
        <f>3+3+22+5.15+0.045</f>
        <v>33.195</v>
      </c>
      <c r="AW17" s="19">
        <f t="shared" si="0"/>
        <v>0.85389999999999988</v>
      </c>
      <c r="AX17" s="19">
        <f t="shared" si="1"/>
        <v>0.40223999999999999</v>
      </c>
      <c r="AY17" s="19">
        <f t="shared" si="2"/>
        <v>222.095</v>
      </c>
      <c r="AZ17">
        <f t="shared" si="3"/>
        <v>260.56592106804078</v>
      </c>
    </row>
    <row r="18" spans="1:52" x14ac:dyDescent="0.3">
      <c r="A18" s="17" t="s">
        <v>33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>
        <v>1.6</v>
      </c>
      <c r="AU18" s="18">
        <v>22.026</v>
      </c>
      <c r="AV18" s="18">
        <v>1711</v>
      </c>
      <c r="AW18" s="19">
        <f t="shared" si="0"/>
        <v>1.6</v>
      </c>
      <c r="AX18" s="19">
        <f t="shared" si="1"/>
        <v>22.026</v>
      </c>
      <c r="AY18" s="19">
        <f t="shared" si="2"/>
        <v>1711</v>
      </c>
      <c r="AZ18">
        <f t="shared" si="3"/>
        <v>1083.1412499999999</v>
      </c>
    </row>
    <row r="19" spans="1:52" x14ac:dyDescent="0.3">
      <c r="A19" s="17" t="s">
        <v>34</v>
      </c>
      <c r="B19" s="18"/>
      <c r="C19" s="18"/>
      <c r="D19" s="18">
        <v>7.3</v>
      </c>
      <c r="E19" s="18"/>
      <c r="F19" s="18"/>
      <c r="G19" s="18"/>
      <c r="H19" s="18">
        <v>114.7</v>
      </c>
      <c r="I19" s="18"/>
      <c r="J19" s="18">
        <v>5.4</v>
      </c>
      <c r="K19" s="18">
        <v>66.5</v>
      </c>
      <c r="L19" s="18"/>
      <c r="M19" s="18"/>
      <c r="N19" s="18"/>
      <c r="O19" s="18"/>
      <c r="P19" s="18">
        <v>104.2</v>
      </c>
      <c r="Q19" s="18"/>
      <c r="R19" s="18">
        <v>0.2</v>
      </c>
      <c r="S19" s="18"/>
      <c r="T19" s="18">
        <v>654.4</v>
      </c>
      <c r="U19" s="18"/>
      <c r="V19" s="18">
        <v>4.8</v>
      </c>
      <c r="W19" s="18">
        <v>29.3</v>
      </c>
      <c r="X19" s="18"/>
      <c r="Y19" s="18"/>
      <c r="Z19" s="18">
        <v>8.5</v>
      </c>
      <c r="AA19" s="18">
        <v>74</v>
      </c>
      <c r="AB19" s="18"/>
      <c r="AC19" s="18"/>
      <c r="AD19" s="18"/>
      <c r="AE19" s="18"/>
      <c r="AF19" s="18">
        <v>0.1</v>
      </c>
      <c r="AG19" s="18"/>
      <c r="AH19" s="18">
        <v>2.8</v>
      </c>
      <c r="AI19" s="18"/>
      <c r="AJ19" s="18">
        <v>7132</v>
      </c>
      <c r="AK19" s="18"/>
      <c r="AL19" s="18">
        <f>1.8+0.3</f>
        <v>2.1</v>
      </c>
      <c r="AM19" s="18"/>
      <c r="AN19" s="18">
        <f>16.1+1413</f>
        <v>1429.1</v>
      </c>
      <c r="AO19" s="18"/>
      <c r="AP19" s="18"/>
      <c r="AQ19" s="18"/>
      <c r="AR19" s="18"/>
      <c r="AS19" s="18"/>
      <c r="AT19" s="18">
        <v>5.9</v>
      </c>
      <c r="AU19" s="18">
        <v>37.700000000000003</v>
      </c>
      <c r="AV19" s="18"/>
      <c r="AW19" s="19">
        <f t="shared" si="0"/>
        <v>29.700000000000003</v>
      </c>
      <c r="AX19" s="19">
        <f t="shared" si="1"/>
        <v>207.5</v>
      </c>
      <c r="AY19" s="19">
        <f t="shared" si="2"/>
        <v>9441.7999999999993</v>
      </c>
      <c r="AZ19">
        <f t="shared" si="3"/>
        <v>324.89225589225583</v>
      </c>
    </row>
    <row r="20" spans="1:52" x14ac:dyDescent="0.3">
      <c r="A20" s="17" t="s">
        <v>35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9">
        <f t="shared" si="0"/>
        <v>0</v>
      </c>
      <c r="AX20" s="19">
        <f t="shared" si="1"/>
        <v>0</v>
      </c>
      <c r="AY20" s="19">
        <f t="shared" si="2"/>
        <v>0</v>
      </c>
      <c r="AZ20" t="e">
        <f t="shared" si="3"/>
        <v>#DIV/0!</v>
      </c>
    </row>
    <row r="21" spans="1:52" x14ac:dyDescent="0.3">
      <c r="A21" s="17" t="s">
        <v>58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9">
        <f t="shared" si="0"/>
        <v>0</v>
      </c>
      <c r="AX21" s="19">
        <f t="shared" si="1"/>
        <v>0</v>
      </c>
      <c r="AY21" s="19">
        <f t="shared" si="2"/>
        <v>0</v>
      </c>
      <c r="AZ21" t="e">
        <f t="shared" si="3"/>
        <v>#DIV/0!</v>
      </c>
    </row>
    <row r="22" spans="1:52" x14ac:dyDescent="0.3">
      <c r="A22" s="17" t="s">
        <v>37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>
        <v>16.515000000000001</v>
      </c>
      <c r="AU22" s="18">
        <v>193</v>
      </c>
      <c r="AV22" s="18"/>
      <c r="AW22" s="19">
        <f t="shared" si="0"/>
        <v>16.515000000000001</v>
      </c>
      <c r="AX22" s="19">
        <f t="shared" si="1"/>
        <v>193</v>
      </c>
      <c r="AY22" s="19">
        <f t="shared" si="2"/>
        <v>0</v>
      </c>
      <c r="AZ22">
        <f t="shared" si="3"/>
        <v>11.68634574629125</v>
      </c>
    </row>
    <row r="23" spans="1:52" x14ac:dyDescent="0.3">
      <c r="A23" s="17" t="s">
        <v>38</v>
      </c>
      <c r="B23" s="18"/>
      <c r="C23" s="18"/>
      <c r="D23" s="18"/>
      <c r="E23" s="18"/>
      <c r="F23" s="18"/>
      <c r="G23" s="18"/>
      <c r="H23" s="18"/>
      <c r="I23" s="18"/>
      <c r="J23" s="18">
        <v>3</v>
      </c>
      <c r="K23" s="18">
        <v>12</v>
      </c>
      <c r="L23" s="18"/>
      <c r="M23" s="18"/>
      <c r="N23" s="18"/>
      <c r="O23" s="18"/>
      <c r="P23" s="18"/>
      <c r="Q23" s="18"/>
      <c r="R23" s="18">
        <v>1</v>
      </c>
      <c r="S23" s="18">
        <v>7</v>
      </c>
      <c r="T23" s="18"/>
      <c r="U23" s="18"/>
      <c r="V23" s="18">
        <v>2</v>
      </c>
      <c r="W23" s="18">
        <v>4</v>
      </c>
      <c r="X23" s="18"/>
      <c r="Y23" s="18"/>
      <c r="Z23" s="18">
        <v>7</v>
      </c>
      <c r="AA23" s="18">
        <v>65</v>
      </c>
      <c r="AB23" s="18"/>
      <c r="AC23" s="18"/>
      <c r="AD23" s="18"/>
      <c r="AE23" s="18"/>
      <c r="AF23" s="18"/>
      <c r="AG23" s="18"/>
      <c r="AH23" s="18">
        <v>6</v>
      </c>
      <c r="AI23" s="18">
        <v>13</v>
      </c>
      <c r="AJ23" s="18"/>
      <c r="AK23" s="18"/>
      <c r="AL23" s="18">
        <v>1</v>
      </c>
      <c r="AM23" s="18">
        <v>6</v>
      </c>
      <c r="AN23" s="18"/>
      <c r="AO23" s="18"/>
      <c r="AP23" s="18"/>
      <c r="AQ23" s="18"/>
      <c r="AR23" s="18"/>
      <c r="AS23" s="18"/>
      <c r="AT23" s="18">
        <v>2</v>
      </c>
      <c r="AU23" s="18">
        <v>12</v>
      </c>
      <c r="AV23" s="18">
        <v>7914</v>
      </c>
      <c r="AW23" s="19">
        <f t="shared" si="0"/>
        <v>22</v>
      </c>
      <c r="AX23" s="19">
        <f t="shared" si="1"/>
        <v>119</v>
      </c>
      <c r="AY23" s="19">
        <f t="shared" si="2"/>
        <v>7914</v>
      </c>
      <c r="AZ23">
        <f t="shared" si="3"/>
        <v>365.13636363636363</v>
      </c>
    </row>
    <row r="24" spans="1:52" x14ac:dyDescent="0.3">
      <c r="A24" s="21" t="s">
        <v>39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9">
        <f t="shared" si="0"/>
        <v>0</v>
      </c>
      <c r="AX24" s="19">
        <f t="shared" si="1"/>
        <v>0</v>
      </c>
      <c r="AY24" s="19">
        <f t="shared" si="2"/>
        <v>0</v>
      </c>
      <c r="AZ24" t="e">
        <f t="shared" si="3"/>
        <v>#DIV/0!</v>
      </c>
    </row>
    <row r="25" spans="1:52" x14ac:dyDescent="0.3">
      <c r="A25" s="17" t="s">
        <v>40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9">
        <f t="shared" si="0"/>
        <v>0</v>
      </c>
      <c r="AX25" s="19">
        <f t="shared" si="1"/>
        <v>0</v>
      </c>
      <c r="AY25" s="19">
        <f t="shared" si="2"/>
        <v>0</v>
      </c>
      <c r="AZ25" t="e">
        <f t="shared" si="3"/>
        <v>#DIV/0!</v>
      </c>
    </row>
    <row r="26" spans="1:52" x14ac:dyDescent="0.3">
      <c r="A26" s="17" t="s">
        <v>41</v>
      </c>
      <c r="B26" s="18">
        <v>5.0999999999999997E-2</v>
      </c>
      <c r="C26" s="18"/>
      <c r="D26" s="18">
        <v>141.27000000000001</v>
      </c>
      <c r="E26" s="18"/>
      <c r="F26" s="18"/>
      <c r="G26" s="18"/>
      <c r="H26" s="18"/>
      <c r="I26" s="18"/>
      <c r="J26" s="18"/>
      <c r="K26" s="18"/>
      <c r="L26" s="18"/>
      <c r="M26" s="18"/>
      <c r="N26" s="18">
        <v>2.3E-2</v>
      </c>
      <c r="O26" s="18"/>
      <c r="P26" s="18">
        <v>32.200000000000003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>
        <v>1.2E-2</v>
      </c>
      <c r="AE26" s="18"/>
      <c r="AF26" s="18">
        <v>7.6999999999999999E-2</v>
      </c>
      <c r="AG26" s="18"/>
      <c r="AH26" s="18">
        <v>0.01</v>
      </c>
      <c r="AI26" s="18"/>
      <c r="AJ26" s="18">
        <v>45.8</v>
      </c>
      <c r="AK26" s="18"/>
      <c r="AL26" s="18"/>
      <c r="AM26" s="18"/>
      <c r="AN26" s="18"/>
      <c r="AO26" s="18"/>
      <c r="AP26" s="18"/>
      <c r="AQ26" s="18"/>
      <c r="AR26" s="18"/>
      <c r="AS26" s="18"/>
      <c r="AT26" s="18">
        <v>6.7000000000000004E-2</v>
      </c>
      <c r="AU26" s="18">
        <v>166.83</v>
      </c>
      <c r="AV26" s="18">
        <v>385.87</v>
      </c>
      <c r="AW26" s="19">
        <f t="shared" si="0"/>
        <v>0.16299999999999998</v>
      </c>
      <c r="AX26" s="19">
        <f t="shared" si="1"/>
        <v>166.83</v>
      </c>
      <c r="AY26" s="19">
        <f t="shared" si="2"/>
        <v>605.2170000000001</v>
      </c>
      <c r="AZ26">
        <f t="shared" si="3"/>
        <v>4736.4846625766886</v>
      </c>
    </row>
    <row r="27" spans="1:52" x14ac:dyDescent="0.3">
      <c r="A27" s="20" t="s">
        <v>42</v>
      </c>
      <c r="B27" s="18">
        <v>2.9199999999999999E-3</v>
      </c>
      <c r="C27" s="18"/>
      <c r="D27" s="18">
        <v>51.2</v>
      </c>
      <c r="E27" s="18"/>
      <c r="F27" s="18"/>
      <c r="G27" s="18"/>
      <c r="H27" s="18"/>
      <c r="I27" s="18"/>
      <c r="J27" s="18"/>
      <c r="K27" s="18"/>
      <c r="L27" s="18"/>
      <c r="M27" s="18"/>
      <c r="N27" s="18">
        <v>4.0000000000000002E-4</v>
      </c>
      <c r="O27" s="18"/>
      <c r="P27" s="18">
        <v>0.39600000000000002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>
        <v>1.82E-3</v>
      </c>
      <c r="AI27" s="18"/>
      <c r="AJ27" s="18">
        <v>16.113</v>
      </c>
      <c r="AK27" s="18"/>
      <c r="AL27" s="18"/>
      <c r="AM27" s="18"/>
      <c r="AN27" s="18"/>
      <c r="AO27" s="18"/>
      <c r="AP27" s="18"/>
      <c r="AQ27" s="18"/>
      <c r="AR27" s="18"/>
      <c r="AS27" s="18"/>
      <c r="AT27" s="18">
        <f>0.00188+0.00112</f>
        <v>3.0000000000000001E-3</v>
      </c>
      <c r="AU27" s="18"/>
      <c r="AV27" s="18">
        <f>11.28+17.67</f>
        <v>28.950000000000003</v>
      </c>
      <c r="AW27" s="19">
        <f t="shared" si="0"/>
        <v>8.1400000000000014E-3</v>
      </c>
      <c r="AX27" s="19">
        <f t="shared" si="1"/>
        <v>0</v>
      </c>
      <c r="AY27" s="19">
        <f t="shared" si="2"/>
        <v>96.659000000000006</v>
      </c>
      <c r="AZ27">
        <f t="shared" si="3"/>
        <v>11874.570024570023</v>
      </c>
    </row>
    <row r="28" spans="1:52" x14ac:dyDescent="0.3">
      <c r="A28" s="17" t="s">
        <v>43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>
        <v>2.37</v>
      </c>
      <c r="S28" s="18"/>
      <c r="T28" s="18">
        <v>2350</v>
      </c>
      <c r="U28" s="18"/>
      <c r="V28" s="18"/>
      <c r="W28" s="18"/>
      <c r="X28" s="18"/>
      <c r="Y28" s="18"/>
      <c r="Z28" s="18">
        <v>2.69</v>
      </c>
      <c r="AA28" s="18">
        <v>24.707000000000001</v>
      </c>
      <c r="AB28" s="18"/>
      <c r="AC28" s="18"/>
      <c r="AD28" s="18"/>
      <c r="AE28" s="18"/>
      <c r="AF28" s="18"/>
      <c r="AG28" s="18"/>
      <c r="AH28" s="18">
        <v>1.91</v>
      </c>
      <c r="AI28" s="18"/>
      <c r="AJ28" s="18">
        <v>3690</v>
      </c>
      <c r="AK28" s="18"/>
      <c r="AL28" s="18">
        <v>0.55000000000000004</v>
      </c>
      <c r="AM28" s="18">
        <v>1.4550000000000001</v>
      </c>
      <c r="AN28" s="18"/>
      <c r="AO28" s="18"/>
      <c r="AP28" s="18"/>
      <c r="AQ28" s="18"/>
      <c r="AR28" s="18"/>
      <c r="AS28" s="18"/>
      <c r="AT28" s="18"/>
      <c r="AU28" s="18"/>
      <c r="AV28" s="18"/>
      <c r="AW28" s="19">
        <f t="shared" si="0"/>
        <v>7.5200000000000005</v>
      </c>
      <c r="AX28" s="19">
        <f t="shared" si="1"/>
        <v>26.161999999999999</v>
      </c>
      <c r="AY28" s="19">
        <f t="shared" si="2"/>
        <v>6040</v>
      </c>
      <c r="AZ28">
        <f t="shared" si="3"/>
        <v>806.67047872340424</v>
      </c>
    </row>
    <row r="29" spans="1:52" x14ac:dyDescent="0.3">
      <c r="A29" s="20" t="s">
        <v>44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>
        <v>1.2999999999999999E-2</v>
      </c>
      <c r="W29" s="18">
        <v>6.0999999999999999E-2</v>
      </c>
      <c r="X29" s="18"/>
      <c r="Y29" s="18"/>
      <c r="Z29" s="18">
        <v>4.5999999999999999E-2</v>
      </c>
      <c r="AA29" s="18">
        <v>0.29799999999999999</v>
      </c>
      <c r="AB29" s="18"/>
      <c r="AC29" s="18"/>
      <c r="AD29" s="18"/>
      <c r="AE29" s="18"/>
      <c r="AF29" s="18"/>
      <c r="AG29" s="18"/>
      <c r="AH29" s="18">
        <v>2E-3</v>
      </c>
      <c r="AI29" s="18">
        <v>5.0000000000000001E-3</v>
      </c>
      <c r="AJ29" s="18"/>
      <c r="AK29" s="18"/>
      <c r="AL29" s="18">
        <v>6.0000000000000001E-3</v>
      </c>
      <c r="AM29" s="18">
        <v>2.5999999999999999E-2</v>
      </c>
      <c r="AN29" s="18"/>
      <c r="AO29" s="18"/>
      <c r="AP29" s="18"/>
      <c r="AQ29" s="18"/>
      <c r="AR29" s="18"/>
      <c r="AS29" s="18"/>
      <c r="AT29" s="18">
        <v>8.9999999999999993E-3</v>
      </c>
      <c r="AU29" s="18">
        <v>3.6999999999999998E-2</v>
      </c>
      <c r="AV29" s="18"/>
      <c r="AW29" s="19">
        <f t="shared" si="0"/>
        <v>7.5999999999999998E-2</v>
      </c>
      <c r="AX29" s="19">
        <f t="shared" si="1"/>
        <v>0.42699999999999999</v>
      </c>
      <c r="AY29" s="19">
        <f t="shared" si="2"/>
        <v>0</v>
      </c>
      <c r="AZ29">
        <f t="shared" si="3"/>
        <v>5.6184210526315788</v>
      </c>
    </row>
    <row r="30" spans="1:52" x14ac:dyDescent="0.3">
      <c r="A30" s="17" t="s">
        <v>45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>
        <f>1.34+0.77</f>
        <v>2.1100000000000003</v>
      </c>
      <c r="AU30" s="18">
        <f>10.38+0.07</f>
        <v>10.450000000000001</v>
      </c>
      <c r="AV30" s="18"/>
      <c r="AW30" s="19">
        <f t="shared" si="0"/>
        <v>2.1100000000000003</v>
      </c>
      <c r="AX30" s="19">
        <f t="shared" si="1"/>
        <v>10.450000000000001</v>
      </c>
      <c r="AY30" s="19">
        <f t="shared" si="2"/>
        <v>0</v>
      </c>
      <c r="AZ30">
        <f t="shared" si="3"/>
        <v>4.9526066350710902</v>
      </c>
    </row>
    <row r="31" spans="1:52" x14ac:dyDescent="0.3">
      <c r="A31" s="17" t="s">
        <v>46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>
        <v>3.4340000000000002</v>
      </c>
      <c r="AU31" s="18">
        <v>3.7189999999999999</v>
      </c>
      <c r="AV31" s="18"/>
      <c r="AW31" s="19">
        <f t="shared" si="0"/>
        <v>3.4340000000000002</v>
      </c>
      <c r="AX31" s="19">
        <f t="shared" si="1"/>
        <v>3.7189999999999999</v>
      </c>
      <c r="AY31" s="19">
        <f t="shared" si="2"/>
        <v>0</v>
      </c>
      <c r="AZ31">
        <f t="shared" si="3"/>
        <v>1.0829935934769948</v>
      </c>
    </row>
    <row r="32" spans="1:52" x14ac:dyDescent="0.3">
      <c r="A32" s="17" t="s">
        <v>47</v>
      </c>
      <c r="B32" s="18">
        <v>8.9999999999999993E-3</v>
      </c>
      <c r="C32" s="18"/>
      <c r="D32" s="18">
        <v>4.5</v>
      </c>
      <c r="E32" s="18"/>
      <c r="F32" s="18">
        <v>7.0000000000000001E-3</v>
      </c>
      <c r="G32" s="18"/>
      <c r="H32" s="18">
        <v>9</v>
      </c>
      <c r="I32" s="18"/>
      <c r="J32" s="18"/>
      <c r="K32" s="18"/>
      <c r="L32" s="18"/>
      <c r="M32" s="18"/>
      <c r="N32" s="18">
        <v>0.03</v>
      </c>
      <c r="O32" s="18"/>
      <c r="P32" s="18">
        <v>17</v>
      </c>
      <c r="Q32" s="18"/>
      <c r="R32" s="18">
        <v>2.9000000000000001E-2</v>
      </c>
      <c r="S32" s="18"/>
      <c r="T32" s="18">
        <v>65</v>
      </c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2.3E-2</v>
      </c>
      <c r="AI32" s="18"/>
      <c r="AJ32" s="18">
        <v>23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>
        <f>0.035+0.015+0.018+0.039+0.017</f>
        <v>0.12400000000000001</v>
      </c>
      <c r="AU32" s="18">
        <v>26.5</v>
      </c>
      <c r="AV32" s="18">
        <f>30+14.5+18.5+32.6</f>
        <v>95.6</v>
      </c>
      <c r="AW32" s="19">
        <f t="shared" si="0"/>
        <v>0.22200000000000003</v>
      </c>
      <c r="AX32" s="19">
        <f t="shared" si="1"/>
        <v>26.5</v>
      </c>
      <c r="AY32" s="19">
        <f t="shared" si="2"/>
        <v>214.1</v>
      </c>
      <c r="AZ32">
        <f t="shared" si="3"/>
        <v>1083.7837837837835</v>
      </c>
    </row>
    <row r="33" spans="1:52" x14ac:dyDescent="0.3">
      <c r="A33" s="17" t="s">
        <v>48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>
        <v>28.71</v>
      </c>
      <c r="AU33" s="18">
        <v>312.97000000000003</v>
      </c>
      <c r="AV33" s="18">
        <v>1168</v>
      </c>
      <c r="AW33" s="19">
        <f t="shared" si="0"/>
        <v>28.71</v>
      </c>
      <c r="AX33" s="19">
        <f t="shared" si="1"/>
        <v>312.97000000000003</v>
      </c>
      <c r="AY33" s="19">
        <f t="shared" si="2"/>
        <v>1168</v>
      </c>
      <c r="AZ33">
        <f t="shared" si="3"/>
        <v>51.583768721699755</v>
      </c>
    </row>
    <row r="34" spans="1:52" x14ac:dyDescent="0.3">
      <c r="A34" s="17" t="s">
        <v>49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9">
        <f t="shared" si="0"/>
        <v>0</v>
      </c>
      <c r="AX34" s="19">
        <f t="shared" si="1"/>
        <v>0</v>
      </c>
      <c r="AY34" s="19">
        <f t="shared" si="2"/>
        <v>0</v>
      </c>
      <c r="AZ34" t="e">
        <f t="shared" si="3"/>
        <v>#DIV/0!</v>
      </c>
    </row>
    <row r="35" spans="1:52" x14ac:dyDescent="0.3">
      <c r="A35" s="17" t="s">
        <v>50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>
        <v>3.0920000000000001</v>
      </c>
      <c r="S35" s="18"/>
      <c r="T35" s="18">
        <v>3092</v>
      </c>
      <c r="U35" s="18"/>
      <c r="V35" s="18"/>
      <c r="W35" s="18"/>
      <c r="X35" s="18"/>
      <c r="Y35" s="18"/>
      <c r="Z35" s="18">
        <v>3.5760000000000001</v>
      </c>
      <c r="AA35" s="18">
        <v>7.1520000000000001</v>
      </c>
      <c r="AB35" s="18"/>
      <c r="AC35" s="18"/>
      <c r="AD35" s="18"/>
      <c r="AE35" s="18"/>
      <c r="AF35" s="18"/>
      <c r="AG35" s="18"/>
      <c r="AH35" s="18">
        <f>7.704+1.816</f>
        <v>9.52</v>
      </c>
      <c r="AI35" s="18">
        <v>24.341999999999999</v>
      </c>
      <c r="AJ35" s="18">
        <v>1816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9">
        <f t="shared" si="0"/>
        <v>16.187999999999999</v>
      </c>
      <c r="AX35" s="19">
        <f t="shared" si="1"/>
        <v>31.494</v>
      </c>
      <c r="AY35" s="19">
        <f t="shared" si="2"/>
        <v>4908</v>
      </c>
      <c r="AZ35">
        <f t="shared" si="3"/>
        <v>305.13306152705707</v>
      </c>
    </row>
    <row r="36" spans="1:52" x14ac:dyDescent="0.3">
      <c r="A36" s="17" t="s">
        <v>51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>
        <f>0.607+0.954</f>
        <v>1.5609999999999999</v>
      </c>
      <c r="AU36" s="18">
        <v>1.8240000000000001</v>
      </c>
      <c r="AV36" s="18">
        <v>3633</v>
      </c>
      <c r="AW36" s="19">
        <f t="shared" si="0"/>
        <v>1.5609999999999999</v>
      </c>
      <c r="AX36" s="19">
        <f t="shared" si="1"/>
        <v>1.8240000000000001</v>
      </c>
      <c r="AY36" s="19">
        <f t="shared" si="2"/>
        <v>3633</v>
      </c>
      <c r="AZ36">
        <f t="shared" si="3"/>
        <v>2328.5227418321592</v>
      </c>
    </row>
    <row r="37" spans="1:52" x14ac:dyDescent="0.3">
      <c r="A37" s="17" t="s">
        <v>52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>
        <f>10.045+14.365</f>
        <v>24.41</v>
      </c>
      <c r="AU37" s="18">
        <v>65.143000000000001</v>
      </c>
      <c r="AV37" s="18">
        <v>25429.1</v>
      </c>
      <c r="AW37" s="19">
        <f t="shared" si="0"/>
        <v>24.41</v>
      </c>
      <c r="AX37" s="19">
        <f t="shared" si="1"/>
        <v>65.143000000000001</v>
      </c>
      <c r="AY37" s="19">
        <f t="shared" si="2"/>
        <v>25429.1</v>
      </c>
      <c r="AZ37">
        <f t="shared" si="3"/>
        <v>1044.4179844326095</v>
      </c>
    </row>
    <row r="38" spans="1:52" x14ac:dyDescent="0.3">
      <c r="A38" s="2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t="e">
        <f t="shared" si="3"/>
        <v>#DIV/0!</v>
      </c>
    </row>
    <row r="39" spans="1:52" x14ac:dyDescent="0.3">
      <c r="A39" s="330" t="s">
        <v>53</v>
      </c>
      <c r="B39" s="321">
        <f>SUM(B4:B38)</f>
        <v>6.787E-2</v>
      </c>
      <c r="C39" s="321">
        <f t="shared" ref="C39:AY39" si="4">SUM(C4:C38)</f>
        <v>2.0000000000000001E-4</v>
      </c>
      <c r="D39" s="321">
        <f t="shared" si="4"/>
        <v>320.27</v>
      </c>
      <c r="E39" s="305">
        <f>(D39+C39)/B39</f>
        <v>4718.8772653602473</v>
      </c>
      <c r="F39" s="321">
        <f t="shared" si="4"/>
        <v>1.0999999999999999E-2</v>
      </c>
      <c r="G39" s="321">
        <f t="shared" si="4"/>
        <v>0</v>
      </c>
      <c r="H39" s="321">
        <f t="shared" si="4"/>
        <v>148.69999999999999</v>
      </c>
      <c r="I39" s="305">
        <f>(H39+G39)/F39</f>
        <v>13518.181818181818</v>
      </c>
      <c r="J39" s="321">
        <f t="shared" si="4"/>
        <v>18.357500000000002</v>
      </c>
      <c r="K39" s="321">
        <f t="shared" si="4"/>
        <v>175.61</v>
      </c>
      <c r="L39" s="321">
        <f t="shared" si="4"/>
        <v>30.58</v>
      </c>
      <c r="M39" s="321">
        <f>(L39+K39)/J39</f>
        <v>11.231921557946343</v>
      </c>
      <c r="N39" s="321">
        <f t="shared" si="4"/>
        <v>6.3399999999999998E-2</v>
      </c>
      <c r="O39" s="321">
        <f t="shared" si="4"/>
        <v>0</v>
      </c>
      <c r="P39" s="321">
        <f t="shared" si="4"/>
        <v>249.196</v>
      </c>
      <c r="Q39" s="305">
        <f>(P39+O39)/N39</f>
        <v>3930.5362776025236</v>
      </c>
      <c r="R39" s="321">
        <f t="shared" si="4"/>
        <v>9.3674999999999997</v>
      </c>
      <c r="S39" s="321">
        <f t="shared" si="4"/>
        <v>12.18</v>
      </c>
      <c r="T39" s="321">
        <f t="shared" si="4"/>
        <v>7067.95</v>
      </c>
      <c r="U39" s="305">
        <f>(T39+S39)/R39</f>
        <v>755.81852148385383</v>
      </c>
      <c r="V39" s="321">
        <f t="shared" si="4"/>
        <v>10.349499999999999</v>
      </c>
      <c r="W39" s="321">
        <f t="shared" si="4"/>
        <v>50.894010000000002</v>
      </c>
      <c r="X39" s="321">
        <f t="shared" si="4"/>
        <v>0</v>
      </c>
      <c r="Y39" s="321">
        <f>(X39+W39)/V39</f>
        <v>4.9175332141649362</v>
      </c>
      <c r="Z39" s="321">
        <f t="shared" si="4"/>
        <v>42.875</v>
      </c>
      <c r="AA39" s="321">
        <f t="shared" si="4"/>
        <v>360.20580000000001</v>
      </c>
      <c r="AB39" s="321">
        <f t="shared" si="4"/>
        <v>0</v>
      </c>
      <c r="AC39" s="321">
        <f>(AB39+AA39)/Z39</f>
        <v>8.4013014577259479</v>
      </c>
      <c r="AD39" s="321">
        <f t="shared" si="4"/>
        <v>1.2E-2</v>
      </c>
      <c r="AE39" s="321">
        <f t="shared" si="4"/>
        <v>0</v>
      </c>
      <c r="AF39" s="321">
        <f t="shared" si="4"/>
        <v>0.17699999999999999</v>
      </c>
      <c r="AG39" s="321">
        <f>(AF39+AE39)/AD39</f>
        <v>14.749999999999998</v>
      </c>
      <c r="AH39" s="321">
        <f t="shared" si="4"/>
        <v>28.130319999999998</v>
      </c>
      <c r="AI39" s="321">
        <f t="shared" si="4"/>
        <v>75.656999999999996</v>
      </c>
      <c r="AJ39" s="321">
        <f t="shared" si="4"/>
        <v>19902.762999999999</v>
      </c>
      <c r="AK39" s="321">
        <f>(AJ39+AI39)/AH39</f>
        <v>710.20948215306476</v>
      </c>
      <c r="AL39" s="321">
        <f t="shared" si="4"/>
        <v>7.9524999999999997</v>
      </c>
      <c r="AM39" s="321">
        <f t="shared" si="4"/>
        <v>27.705029999999997</v>
      </c>
      <c r="AN39" s="321">
        <f t="shared" si="4"/>
        <v>1560.6999999999998</v>
      </c>
      <c r="AO39" s="321">
        <f>(AN39+AM39)/AL39</f>
        <v>199.7365646023263</v>
      </c>
      <c r="AP39" s="321">
        <f t="shared" si="4"/>
        <v>1.7999999999999999E-2</v>
      </c>
      <c r="AQ39" s="321">
        <f t="shared" si="4"/>
        <v>0</v>
      </c>
      <c r="AR39" s="321">
        <f t="shared" si="4"/>
        <v>45.1</v>
      </c>
      <c r="AS39" s="321">
        <f>(AR39+AQ39)/AP39</f>
        <v>2505.5555555555557</v>
      </c>
      <c r="AT39" s="321">
        <f t="shared" si="4"/>
        <v>115.53954999999999</v>
      </c>
      <c r="AU39" s="321">
        <f t="shared" si="4"/>
        <v>1026.96</v>
      </c>
      <c r="AV39" s="321">
        <f t="shared" si="4"/>
        <v>47406.414999999994</v>
      </c>
      <c r="AW39" s="321">
        <f t="shared" ref="AW39" si="5">SUM(AW4:AW38)</f>
        <v>232.74414000000002</v>
      </c>
      <c r="AX39" s="321">
        <f t="shared" si="4"/>
        <v>1729.2120399999999</v>
      </c>
      <c r="AY39" s="321">
        <f t="shared" si="4"/>
        <v>76731.850999999995</v>
      </c>
      <c r="AZ39">
        <f t="shared" si="3"/>
        <v>337.11294746239361</v>
      </c>
    </row>
    <row r="40" spans="1:52" x14ac:dyDescent="0.3">
      <c r="A40" s="331" t="s">
        <v>59</v>
      </c>
      <c r="B40" s="332"/>
      <c r="C40" s="332"/>
      <c r="D40" s="332"/>
      <c r="E40" s="332">
        <f>(D39+C39)/B39</f>
        <v>4718.8772653602473</v>
      </c>
      <c r="F40" s="332"/>
      <c r="G40" s="332"/>
      <c r="H40" s="332"/>
      <c r="I40" s="332"/>
      <c r="J40" s="332"/>
      <c r="K40" s="332"/>
      <c r="L40" s="332">
        <f>L39+K39</f>
        <v>206.19</v>
      </c>
      <c r="M40" s="332"/>
      <c r="N40" s="332"/>
      <c r="O40" s="332"/>
      <c r="P40" s="332"/>
      <c r="Q40" s="332"/>
      <c r="R40" s="332"/>
      <c r="S40" s="332"/>
      <c r="T40" s="332">
        <f>T39+S39</f>
        <v>7080.13</v>
      </c>
      <c r="U40" s="332"/>
      <c r="V40" s="332"/>
      <c r="W40" s="332"/>
      <c r="X40" s="332"/>
      <c r="Y40" s="332"/>
      <c r="Z40" s="332"/>
      <c r="AA40" s="332"/>
      <c r="AB40" s="332"/>
      <c r="AC40" s="332"/>
      <c r="AD40" s="332"/>
      <c r="AE40" s="332"/>
      <c r="AF40" s="332"/>
      <c r="AG40" s="332"/>
      <c r="AH40" s="332"/>
      <c r="AI40" s="332"/>
      <c r="AJ40" s="332">
        <f>AJ39+AI39</f>
        <v>19978.419999999998</v>
      </c>
      <c r="AK40" s="332"/>
      <c r="AL40" s="332"/>
      <c r="AM40" s="332"/>
      <c r="AN40" s="332">
        <f>AN39+AM39</f>
        <v>1588.4050299999999</v>
      </c>
      <c r="AO40" s="332"/>
      <c r="AP40" s="332"/>
      <c r="AQ40" s="332"/>
      <c r="AR40" s="332"/>
      <c r="AS40" s="332"/>
      <c r="AT40" s="332"/>
      <c r="AU40" s="332"/>
      <c r="AV40" s="332"/>
      <c r="AW40" s="332"/>
      <c r="AX40" s="332"/>
      <c r="AY40" s="332">
        <f>AY39+AX39</f>
        <v>78461.063039999994</v>
      </c>
    </row>
    <row r="41" spans="1:52" ht="27" x14ac:dyDescent="0.3">
      <c r="A41" s="24" t="s">
        <v>60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</row>
    <row r="42" spans="1:52" ht="53.4" x14ac:dyDescent="0.3">
      <c r="A42" s="25" t="s">
        <v>61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</row>
    <row r="43" spans="1:52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</row>
  </sheetData>
  <mergeCells count="14">
    <mergeCell ref="V1:X1"/>
    <mergeCell ref="B1:D1"/>
    <mergeCell ref="F1:H1"/>
    <mergeCell ref="J1:L1"/>
    <mergeCell ref="N1:P1"/>
    <mergeCell ref="R1:T1"/>
    <mergeCell ref="AW1:AY1"/>
    <mergeCell ref="AX2:AY2"/>
    <mergeCell ref="Z1:AB1"/>
    <mergeCell ref="AD1:AF1"/>
    <mergeCell ref="AH1:AJ1"/>
    <mergeCell ref="AL1:AN1"/>
    <mergeCell ref="AP1:AR1"/>
    <mergeCell ref="AT1:A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0593-3774-4423-BB6C-37843C2CA4D8}">
  <dimension ref="A1:BA42"/>
  <sheetViews>
    <sheetView topLeftCell="A25" workbookViewId="0">
      <selection activeCell="Q41" sqref="Q41"/>
    </sheetView>
  </sheetViews>
  <sheetFormatPr defaultRowHeight="14.4" x14ac:dyDescent="0.3"/>
  <cols>
    <col min="1" max="1" width="20.6640625" bestFit="1" customWidth="1"/>
  </cols>
  <sheetData>
    <row r="1" spans="1:53" x14ac:dyDescent="0.3">
      <c r="A1" s="26" t="s">
        <v>62</v>
      </c>
      <c r="B1" s="387" t="s">
        <v>1</v>
      </c>
      <c r="C1" s="388"/>
      <c r="D1" s="389"/>
      <c r="E1" s="313"/>
      <c r="F1" s="387" t="s">
        <v>2</v>
      </c>
      <c r="G1" s="388"/>
      <c r="H1" s="389"/>
      <c r="I1" s="313"/>
      <c r="J1" s="387" t="s">
        <v>3</v>
      </c>
      <c r="K1" s="388"/>
      <c r="L1" s="389"/>
      <c r="M1" s="313"/>
      <c r="N1" s="387" t="s">
        <v>4</v>
      </c>
      <c r="O1" s="388"/>
      <c r="P1" s="389"/>
      <c r="Q1" s="313"/>
      <c r="R1" s="387" t="s">
        <v>63</v>
      </c>
      <c r="S1" s="388"/>
      <c r="T1" s="389"/>
      <c r="U1" s="313"/>
      <c r="V1" s="387" t="s">
        <v>6</v>
      </c>
      <c r="W1" s="388"/>
      <c r="X1" s="389"/>
      <c r="Y1" s="313"/>
      <c r="Z1" s="387" t="s">
        <v>7</v>
      </c>
      <c r="AA1" s="388"/>
      <c r="AB1" s="389"/>
      <c r="AC1" s="313"/>
      <c r="AD1" s="387" t="s">
        <v>8</v>
      </c>
      <c r="AE1" s="388"/>
      <c r="AF1" s="389"/>
      <c r="AG1" s="313"/>
      <c r="AH1" s="387" t="s">
        <v>9</v>
      </c>
      <c r="AI1" s="388"/>
      <c r="AJ1" s="389"/>
      <c r="AK1" s="313"/>
      <c r="AL1" s="387" t="s">
        <v>10</v>
      </c>
      <c r="AM1" s="388"/>
      <c r="AN1" s="389"/>
      <c r="AO1" s="313"/>
      <c r="AP1" s="387" t="s">
        <v>11</v>
      </c>
      <c r="AQ1" s="388"/>
      <c r="AR1" s="389"/>
      <c r="AS1" s="313"/>
      <c r="AT1" s="387" t="s">
        <v>12</v>
      </c>
      <c r="AU1" s="388"/>
      <c r="AV1" s="389"/>
      <c r="AW1" s="314"/>
      <c r="AX1" s="390" t="s">
        <v>13</v>
      </c>
      <c r="AY1" s="390"/>
      <c r="AZ1" s="390"/>
    </row>
    <row r="2" spans="1:53" x14ac:dyDescent="0.3">
      <c r="A2" s="27"/>
      <c r="B2" s="26" t="s">
        <v>14</v>
      </c>
      <c r="C2" s="26" t="s">
        <v>15</v>
      </c>
      <c r="D2" s="26" t="s">
        <v>15</v>
      </c>
      <c r="E2" s="26"/>
      <c r="F2" s="26" t="s">
        <v>14</v>
      </c>
      <c r="G2" s="26" t="s">
        <v>15</v>
      </c>
      <c r="H2" s="26" t="s">
        <v>15</v>
      </c>
      <c r="I2" s="26"/>
      <c r="J2" s="26" t="s">
        <v>14</v>
      </c>
      <c r="K2" s="26" t="s">
        <v>15</v>
      </c>
      <c r="L2" s="26" t="s">
        <v>15</v>
      </c>
      <c r="M2" s="26"/>
      <c r="N2" s="26" t="s">
        <v>14</v>
      </c>
      <c r="O2" s="26" t="s">
        <v>15</v>
      </c>
      <c r="P2" s="26" t="s">
        <v>15</v>
      </c>
      <c r="Q2" s="26"/>
      <c r="R2" s="26" t="s">
        <v>14</v>
      </c>
      <c r="S2" s="26" t="s">
        <v>15</v>
      </c>
      <c r="T2" s="26" t="s">
        <v>15</v>
      </c>
      <c r="U2" s="26"/>
      <c r="V2" s="26" t="s">
        <v>14</v>
      </c>
      <c r="W2" s="26" t="s">
        <v>15</v>
      </c>
      <c r="X2" s="26" t="s">
        <v>15</v>
      </c>
      <c r="Y2" s="26"/>
      <c r="Z2" s="26" t="s">
        <v>14</v>
      </c>
      <c r="AA2" s="26" t="s">
        <v>15</v>
      </c>
      <c r="AB2" s="26" t="s">
        <v>15</v>
      </c>
      <c r="AC2" s="26"/>
      <c r="AD2" s="26" t="s">
        <v>14</v>
      </c>
      <c r="AE2" s="26" t="s">
        <v>15</v>
      </c>
      <c r="AF2" s="26" t="s">
        <v>15</v>
      </c>
      <c r="AG2" s="26"/>
      <c r="AH2" s="26" t="s">
        <v>14</v>
      </c>
      <c r="AI2" s="26" t="s">
        <v>15</v>
      </c>
      <c r="AJ2" s="26" t="s">
        <v>15</v>
      </c>
      <c r="AK2" s="26"/>
      <c r="AL2" s="26" t="s">
        <v>14</v>
      </c>
      <c r="AM2" s="26" t="s">
        <v>15</v>
      </c>
      <c r="AN2" s="26" t="s">
        <v>15</v>
      </c>
      <c r="AO2" s="26"/>
      <c r="AP2" s="26" t="s">
        <v>14</v>
      </c>
      <c r="AQ2" s="26" t="s">
        <v>15</v>
      </c>
      <c r="AR2" s="26" t="s">
        <v>15</v>
      </c>
      <c r="AS2" s="26"/>
      <c r="AT2" s="26" t="s">
        <v>14</v>
      </c>
      <c r="AU2" s="26" t="s">
        <v>15</v>
      </c>
      <c r="AV2" s="26" t="s">
        <v>15</v>
      </c>
      <c r="AW2" s="26"/>
      <c r="AX2" s="26" t="s">
        <v>14</v>
      </c>
      <c r="AY2" s="390" t="s">
        <v>15</v>
      </c>
      <c r="AZ2" s="390"/>
    </row>
    <row r="3" spans="1:53" x14ac:dyDescent="0.3">
      <c r="A3" s="27"/>
      <c r="B3" s="26"/>
      <c r="C3" s="26" t="s">
        <v>16</v>
      </c>
      <c r="D3" s="26" t="s">
        <v>17</v>
      </c>
      <c r="E3" s="26"/>
      <c r="F3" s="26"/>
      <c r="G3" s="26" t="s">
        <v>16</v>
      </c>
      <c r="H3" s="26" t="s">
        <v>17</v>
      </c>
      <c r="I3" s="26"/>
      <c r="J3" s="26"/>
      <c r="K3" s="26" t="s">
        <v>16</v>
      </c>
      <c r="L3" s="26" t="s">
        <v>17</v>
      </c>
      <c r="M3" s="26"/>
      <c r="N3" s="26"/>
      <c r="O3" s="26" t="s">
        <v>16</v>
      </c>
      <c r="P3" s="26" t="s">
        <v>17</v>
      </c>
      <c r="Q3" s="26"/>
      <c r="R3" s="26"/>
      <c r="S3" s="26" t="s">
        <v>16</v>
      </c>
      <c r="T3" s="26" t="s">
        <v>17</v>
      </c>
      <c r="U3" s="26"/>
      <c r="V3" s="26"/>
      <c r="W3" s="26" t="s">
        <v>16</v>
      </c>
      <c r="X3" s="26" t="s">
        <v>17</v>
      </c>
      <c r="Y3" s="26"/>
      <c r="Z3" s="26"/>
      <c r="AA3" s="26" t="s">
        <v>16</v>
      </c>
      <c r="AB3" s="26" t="s">
        <v>17</v>
      </c>
      <c r="AC3" s="26"/>
      <c r="AD3" s="26"/>
      <c r="AE3" s="26" t="s">
        <v>16</v>
      </c>
      <c r="AF3" s="26" t="s">
        <v>17</v>
      </c>
      <c r="AG3" s="26"/>
      <c r="AH3" s="26"/>
      <c r="AI3" s="26" t="s">
        <v>16</v>
      </c>
      <c r="AJ3" s="26" t="s">
        <v>17</v>
      </c>
      <c r="AK3" s="26"/>
      <c r="AL3" s="26"/>
      <c r="AM3" s="26" t="s">
        <v>16</v>
      </c>
      <c r="AN3" s="26" t="s">
        <v>17</v>
      </c>
      <c r="AO3" s="26"/>
      <c r="AP3" s="26"/>
      <c r="AQ3" s="26" t="s">
        <v>16</v>
      </c>
      <c r="AR3" s="26" t="s">
        <v>17</v>
      </c>
      <c r="AS3" s="26"/>
      <c r="AT3" s="26"/>
      <c r="AU3" s="26" t="s">
        <v>18</v>
      </c>
      <c r="AV3" s="26" t="s">
        <v>17</v>
      </c>
      <c r="AW3" s="26"/>
      <c r="AX3" s="28"/>
      <c r="AY3" s="26" t="s">
        <v>18</v>
      </c>
      <c r="AZ3" s="26" t="s">
        <v>17</v>
      </c>
    </row>
    <row r="4" spans="1:53" x14ac:dyDescent="0.3">
      <c r="A4" s="29" t="s">
        <v>19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>
        <v>0.01</v>
      </c>
      <c r="W4" s="30">
        <v>0.02</v>
      </c>
      <c r="X4" s="30"/>
      <c r="Y4" s="30"/>
      <c r="Z4" s="30">
        <v>0.03</v>
      </c>
      <c r="AA4" s="30">
        <v>0.09</v>
      </c>
      <c r="AB4" s="30"/>
      <c r="AC4" s="30"/>
      <c r="AD4" s="30"/>
      <c r="AE4" s="30"/>
      <c r="AF4" s="30"/>
      <c r="AG4" s="30"/>
      <c r="AH4" s="30">
        <v>0.01</v>
      </c>
      <c r="AI4" s="30">
        <v>0.02</v>
      </c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>
        <v>0.08</v>
      </c>
      <c r="AU4" s="30">
        <v>0.16</v>
      </c>
      <c r="AV4" s="30"/>
      <c r="AW4" s="30"/>
      <c r="AX4" s="31">
        <f t="shared" ref="AX4:AX38" si="0">B4+F4+J4+N4+R4+V4+Z4+AD4+AH4+AL4+AP4+AT4</f>
        <v>0.13</v>
      </c>
      <c r="AY4" s="31">
        <f t="shared" ref="AY4:AY38" si="1">C4+G4+K4+O4+S4+W4+AA4+AE4+AI4+AM4+AQ4+AU4</f>
        <v>0.29000000000000004</v>
      </c>
      <c r="AZ4" s="31">
        <f t="shared" ref="AZ4:AZ38" si="2">D4+H4+L4+P4+T4+X4+AB4+AF4+AJ4+AN4+AR4+AV4</f>
        <v>0</v>
      </c>
      <c r="BA4">
        <f>(AZ4+AY4)/AX4</f>
        <v>2.2307692307692308</v>
      </c>
    </row>
    <row r="5" spans="1:53" x14ac:dyDescent="0.3">
      <c r="A5" s="29" t="s">
        <v>20</v>
      </c>
      <c r="B5" s="30"/>
      <c r="C5" s="30"/>
      <c r="D5" s="30"/>
      <c r="E5" s="30"/>
      <c r="F5" s="30"/>
      <c r="G5" s="30"/>
      <c r="H5" s="30"/>
      <c r="I5" s="30"/>
      <c r="J5" s="30">
        <v>6.1349999999999998</v>
      </c>
      <c r="K5" s="30">
        <v>70.552999999999997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>
        <v>2.4350000000000001</v>
      </c>
      <c r="W5" s="30">
        <v>12.175000000000001</v>
      </c>
      <c r="X5" s="30"/>
      <c r="Y5" s="30"/>
      <c r="Z5" s="30">
        <v>3.2850000000000001</v>
      </c>
      <c r="AA5" s="30">
        <v>24.638000000000002</v>
      </c>
      <c r="AB5" s="30"/>
      <c r="AC5" s="30"/>
      <c r="AD5" s="30"/>
      <c r="AE5" s="30"/>
      <c r="AF5" s="30"/>
      <c r="AG5" s="30"/>
      <c r="AH5" s="30">
        <v>1.3</v>
      </c>
      <c r="AI5" s="30"/>
      <c r="AJ5" s="30">
        <v>30</v>
      </c>
      <c r="AK5" s="30"/>
      <c r="AL5" s="30">
        <v>2.3130000000000002</v>
      </c>
      <c r="AM5" s="30">
        <v>13.878</v>
      </c>
      <c r="AN5" s="30"/>
      <c r="AO5" s="30"/>
      <c r="AP5" s="30"/>
      <c r="AQ5" s="30"/>
      <c r="AR5" s="30"/>
      <c r="AS5" s="30"/>
      <c r="AT5" s="30">
        <v>4.9050000000000002</v>
      </c>
      <c r="AU5" s="30">
        <v>15.023</v>
      </c>
      <c r="AV5" s="30"/>
      <c r="AW5" s="30"/>
      <c r="AX5" s="31">
        <f t="shared" si="0"/>
        <v>20.373000000000001</v>
      </c>
      <c r="AY5" s="31">
        <f t="shared" si="1"/>
        <v>136.267</v>
      </c>
      <c r="AZ5" s="31">
        <f t="shared" si="2"/>
        <v>30</v>
      </c>
      <c r="BA5">
        <f t="shared" ref="BA5:BA40" si="3">(AZ5+AY5)/AX5</f>
        <v>8.1611446522358015</v>
      </c>
    </row>
    <row r="6" spans="1:53" x14ac:dyDescent="0.3">
      <c r="A6" s="32" t="s">
        <v>64</v>
      </c>
      <c r="B6" s="30">
        <v>4.5999999999999999E-3</v>
      </c>
      <c r="C6" s="30"/>
      <c r="D6" s="30">
        <v>0.64444444444444449</v>
      </c>
      <c r="E6" s="30"/>
      <c r="F6" s="30"/>
      <c r="G6" s="30"/>
      <c r="H6" s="30"/>
      <c r="I6" s="30"/>
      <c r="J6" s="30"/>
      <c r="K6" s="30"/>
      <c r="L6" s="30"/>
      <c r="M6" s="30"/>
      <c r="N6" s="30">
        <v>4.0000000000000001E-3</v>
      </c>
      <c r="O6" s="30"/>
      <c r="P6" s="30">
        <v>0.50285714285714289</v>
      </c>
      <c r="Q6" s="30"/>
      <c r="R6" s="30"/>
      <c r="S6" s="30"/>
      <c r="T6" s="30"/>
      <c r="U6" s="30"/>
      <c r="V6" s="30"/>
      <c r="W6" s="30"/>
      <c r="X6" s="30"/>
      <c r="Y6" s="30"/>
      <c r="Z6" s="30">
        <v>0.01</v>
      </c>
      <c r="AA6" s="30">
        <v>9.7999999999999997E-3</v>
      </c>
      <c r="AB6" s="30"/>
      <c r="AC6" s="30"/>
      <c r="AD6" s="30"/>
      <c r="AE6" s="30"/>
      <c r="AF6" s="30"/>
      <c r="AG6" s="30"/>
      <c r="AH6" s="33">
        <v>4.4999999999999997E-3</v>
      </c>
      <c r="AI6" s="30"/>
      <c r="AJ6" s="30">
        <v>0.7153846153846154</v>
      </c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1">
        <f t="shared" si="0"/>
        <v>2.3099999999999999E-2</v>
      </c>
      <c r="AY6" s="31">
        <f t="shared" si="1"/>
        <v>9.7999999999999997E-3</v>
      </c>
      <c r="AZ6" s="31">
        <f t="shared" si="2"/>
        <v>1.862686202686203</v>
      </c>
      <c r="BA6">
        <f t="shared" si="3"/>
        <v>81.060008774294502</v>
      </c>
    </row>
    <row r="7" spans="1:53" x14ac:dyDescent="0.3">
      <c r="A7" s="29" t="s">
        <v>22</v>
      </c>
      <c r="B7" s="30">
        <v>0.06</v>
      </c>
      <c r="C7" s="30">
        <v>0.39600000000000002</v>
      </c>
      <c r="D7" s="30">
        <v>0.56666666666666665</v>
      </c>
      <c r="E7" s="30"/>
      <c r="F7" s="30">
        <v>0.09</v>
      </c>
      <c r="G7" s="30">
        <v>0.59399999999999997</v>
      </c>
      <c r="H7" s="30">
        <v>0.72857142857142854</v>
      </c>
      <c r="I7" s="30"/>
      <c r="J7" s="30">
        <v>0.12</v>
      </c>
      <c r="K7" s="30">
        <v>0.79200000000000004</v>
      </c>
      <c r="L7" s="30">
        <v>1.1333333333333333</v>
      </c>
      <c r="M7" s="30"/>
      <c r="N7" s="30">
        <v>0.6</v>
      </c>
      <c r="O7" s="30">
        <v>3.96</v>
      </c>
      <c r="P7" s="30">
        <v>5.8285714285714283</v>
      </c>
      <c r="Q7" s="30"/>
      <c r="R7" s="30">
        <v>0.21</v>
      </c>
      <c r="S7" s="30">
        <v>1.3859999999999999</v>
      </c>
      <c r="T7" s="30">
        <v>4.4625000000000004</v>
      </c>
      <c r="U7" s="30"/>
      <c r="V7" s="30">
        <v>0.18</v>
      </c>
      <c r="W7" s="30">
        <v>1.1879999999999999</v>
      </c>
      <c r="X7" s="30">
        <v>1.7</v>
      </c>
      <c r="Y7" s="30"/>
      <c r="Z7" s="30">
        <v>0.45</v>
      </c>
      <c r="AA7" s="30">
        <v>2.97</v>
      </c>
      <c r="AB7" s="30">
        <v>4.25</v>
      </c>
      <c r="AC7" s="30"/>
      <c r="AD7" s="30">
        <v>0.36</v>
      </c>
      <c r="AE7" s="30">
        <v>2.476</v>
      </c>
      <c r="AF7" s="30">
        <v>4.7076923076923078</v>
      </c>
      <c r="AG7" s="30"/>
      <c r="AH7" s="30">
        <v>0.3</v>
      </c>
      <c r="AI7" s="30">
        <v>1.98</v>
      </c>
      <c r="AJ7" s="30">
        <v>3.9230769230769229</v>
      </c>
      <c r="AK7" s="30"/>
      <c r="AL7" s="30"/>
      <c r="AM7" s="30"/>
      <c r="AN7" s="30"/>
      <c r="AO7" s="30"/>
      <c r="AP7" s="30"/>
      <c r="AQ7" s="30"/>
      <c r="AR7" s="30"/>
      <c r="AS7" s="30"/>
      <c r="AT7" s="30">
        <v>0.63</v>
      </c>
      <c r="AU7" s="30">
        <v>4.258</v>
      </c>
      <c r="AV7" s="30">
        <v>5.3944444444444448</v>
      </c>
      <c r="AW7" s="30"/>
      <c r="AX7" s="31">
        <f t="shared" si="0"/>
        <v>2.9999999999999996</v>
      </c>
      <c r="AY7" s="31">
        <f t="shared" si="1"/>
        <v>20</v>
      </c>
      <c r="AZ7" s="31">
        <f t="shared" si="2"/>
        <v>32.694856532356532</v>
      </c>
      <c r="BA7">
        <f t="shared" si="3"/>
        <v>17.564952177452181</v>
      </c>
    </row>
    <row r="8" spans="1:53" x14ac:dyDescent="0.3">
      <c r="A8" s="29" t="s">
        <v>23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>
        <v>0.08</v>
      </c>
      <c r="S8" s="30"/>
      <c r="T8" s="30">
        <v>2.05375</v>
      </c>
      <c r="U8" s="30"/>
      <c r="V8" s="30">
        <v>0.113</v>
      </c>
      <c r="W8" s="30">
        <v>0.317</v>
      </c>
      <c r="X8" s="30"/>
      <c r="Y8" s="30"/>
      <c r="Z8" s="30">
        <v>0.314</v>
      </c>
      <c r="AA8" s="30">
        <v>5.6029999999999998</v>
      </c>
      <c r="AB8" s="30"/>
      <c r="AC8" s="30"/>
      <c r="AD8" s="30"/>
      <c r="AE8" s="30"/>
      <c r="AF8" s="30"/>
      <c r="AG8" s="30"/>
      <c r="AH8" s="30">
        <v>7.2999999999999995E-2</v>
      </c>
      <c r="AI8" s="30">
        <v>9.8000000000000004E-2</v>
      </c>
      <c r="AJ8" s="30">
        <v>0.6897692307692308</v>
      </c>
      <c r="AK8" s="30"/>
      <c r="AL8" s="30">
        <v>0.11</v>
      </c>
      <c r="AM8" s="30">
        <v>0.53500000000000003</v>
      </c>
      <c r="AN8" s="30"/>
      <c r="AO8" s="30"/>
      <c r="AP8" s="30"/>
      <c r="AQ8" s="30"/>
      <c r="AR8" s="30"/>
      <c r="AS8" s="30"/>
      <c r="AT8" s="30">
        <v>0.13200000000000001</v>
      </c>
      <c r="AU8" s="30">
        <v>1.08</v>
      </c>
      <c r="AV8" s="30"/>
      <c r="AW8" s="30"/>
      <c r="AX8" s="31">
        <f t="shared" si="0"/>
        <v>0.82199999999999995</v>
      </c>
      <c r="AY8" s="31">
        <f t="shared" si="1"/>
        <v>7.633</v>
      </c>
      <c r="AZ8" s="31">
        <f t="shared" si="2"/>
        <v>2.7435192307692309</v>
      </c>
      <c r="BA8">
        <f t="shared" si="3"/>
        <v>12.623502713831183</v>
      </c>
    </row>
    <row r="9" spans="1:53" x14ac:dyDescent="0.3">
      <c r="A9" s="29" t="s">
        <v>57</v>
      </c>
      <c r="B9" s="30"/>
      <c r="C9" s="30"/>
      <c r="D9" s="30"/>
      <c r="E9" s="30"/>
      <c r="F9" s="30"/>
      <c r="G9" s="30"/>
      <c r="H9" s="30"/>
      <c r="I9" s="30"/>
      <c r="J9" s="30">
        <v>0.28000000000000003</v>
      </c>
      <c r="K9" s="30">
        <v>1</v>
      </c>
      <c r="L9" s="30">
        <v>0</v>
      </c>
      <c r="M9" s="30"/>
      <c r="N9" s="30"/>
      <c r="O9" s="30"/>
      <c r="P9" s="30"/>
      <c r="Q9" s="30"/>
      <c r="R9" s="30">
        <v>1.67</v>
      </c>
      <c r="S9" s="30">
        <v>5.77</v>
      </c>
      <c r="T9" s="30"/>
      <c r="U9" s="30"/>
      <c r="V9" s="30">
        <v>0.04</v>
      </c>
      <c r="W9" s="30">
        <v>0.09</v>
      </c>
      <c r="X9" s="30"/>
      <c r="Y9" s="30"/>
      <c r="Z9" s="30">
        <v>3.66</v>
      </c>
      <c r="AA9" s="30">
        <v>26.16</v>
      </c>
      <c r="AB9" s="30"/>
      <c r="AC9" s="30"/>
      <c r="AD9" s="30"/>
      <c r="AE9" s="30"/>
      <c r="AF9" s="30"/>
      <c r="AG9" s="30"/>
      <c r="AH9" s="30">
        <v>0.96</v>
      </c>
      <c r="AI9" s="30">
        <v>2.57</v>
      </c>
      <c r="AJ9" s="30"/>
      <c r="AK9" s="30"/>
      <c r="AL9" s="30">
        <v>1.41</v>
      </c>
      <c r="AM9" s="30">
        <v>5.54</v>
      </c>
      <c r="AN9" s="30"/>
      <c r="AO9" s="30"/>
      <c r="AP9" s="30"/>
      <c r="AQ9" s="30"/>
      <c r="AR9" s="30"/>
      <c r="AS9" s="30"/>
      <c r="AT9" s="30">
        <f>0.16+1.95</f>
        <v>2.11</v>
      </c>
      <c r="AU9" s="30">
        <f>0.87+3.73</f>
        <v>4.5999999999999996</v>
      </c>
      <c r="AV9" s="30"/>
      <c r="AW9" s="30"/>
      <c r="AX9" s="31">
        <f t="shared" si="0"/>
        <v>10.129999999999999</v>
      </c>
      <c r="AY9" s="31">
        <f t="shared" si="1"/>
        <v>45.73</v>
      </c>
      <c r="AZ9" s="31">
        <f t="shared" si="2"/>
        <v>0</v>
      </c>
      <c r="BA9">
        <f t="shared" si="3"/>
        <v>4.51431391905232</v>
      </c>
    </row>
    <row r="10" spans="1:53" x14ac:dyDescent="0.3">
      <c r="A10" s="29" t="s">
        <v>25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1">
        <f t="shared" si="0"/>
        <v>0</v>
      </c>
      <c r="AY10" s="31">
        <f t="shared" si="1"/>
        <v>0</v>
      </c>
      <c r="AZ10" s="31">
        <f t="shared" si="2"/>
        <v>0</v>
      </c>
      <c r="BA10" t="e">
        <f t="shared" si="3"/>
        <v>#DIV/0!</v>
      </c>
    </row>
    <row r="11" spans="1:53" x14ac:dyDescent="0.3">
      <c r="A11" s="29" t="s">
        <v>26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1">
        <f t="shared" si="0"/>
        <v>0</v>
      </c>
      <c r="AY11" s="31">
        <f t="shared" si="1"/>
        <v>0</v>
      </c>
      <c r="AZ11" s="31">
        <f t="shared" si="2"/>
        <v>0</v>
      </c>
      <c r="BA11" t="e">
        <f t="shared" si="3"/>
        <v>#DIV/0!</v>
      </c>
    </row>
    <row r="12" spans="1:53" x14ac:dyDescent="0.3">
      <c r="A12" s="29" t="s">
        <v>27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>
        <v>5.5</v>
      </c>
      <c r="AU12" s="30">
        <v>5.7</v>
      </c>
      <c r="AV12" s="30">
        <v>5.7666666666666702</v>
      </c>
      <c r="AW12" s="30"/>
      <c r="AX12" s="31">
        <f t="shared" si="0"/>
        <v>5.5</v>
      </c>
      <c r="AY12" s="31">
        <f t="shared" si="1"/>
        <v>5.7</v>
      </c>
      <c r="AZ12" s="31">
        <f t="shared" si="2"/>
        <v>5.7666666666666702</v>
      </c>
      <c r="BA12">
        <f t="shared" si="3"/>
        <v>2.0848484848484854</v>
      </c>
    </row>
    <row r="13" spans="1:53" x14ac:dyDescent="0.3">
      <c r="A13" s="29" t="s">
        <v>28</v>
      </c>
      <c r="B13" s="33">
        <v>2.0000000000000001E-4</v>
      </c>
      <c r="C13" s="30"/>
      <c r="D13" s="33">
        <v>3.3333333333333331E-3</v>
      </c>
      <c r="E13" s="33"/>
      <c r="F13" s="30"/>
      <c r="G13" s="30"/>
      <c r="H13" s="30"/>
      <c r="I13" s="30"/>
      <c r="J13" s="33">
        <v>2.0000000000000001E-4</v>
      </c>
      <c r="K13" s="30"/>
      <c r="L13" s="33">
        <v>2.7777777777777779E-3</v>
      </c>
      <c r="M13" s="33"/>
      <c r="N13" s="33">
        <v>8.0000000000000004E-4</v>
      </c>
      <c r="O13" s="30"/>
      <c r="P13" s="30">
        <v>9.2000000000000012E-2</v>
      </c>
      <c r="Q13" s="30"/>
      <c r="R13" s="30"/>
      <c r="S13" s="30"/>
      <c r="T13" s="30"/>
      <c r="U13" s="30"/>
      <c r="V13" s="33">
        <v>1E-4</v>
      </c>
      <c r="W13" s="33">
        <v>3.0000000000000001E-3</v>
      </c>
      <c r="X13" s="30"/>
      <c r="Y13" s="30"/>
      <c r="Z13" s="33">
        <v>3.0000000000000001E-3</v>
      </c>
      <c r="AA13" s="30">
        <v>1.7000000000000001E-2</v>
      </c>
      <c r="AB13" s="30"/>
      <c r="AC13" s="30"/>
      <c r="AD13" s="33">
        <v>1E-4</v>
      </c>
      <c r="AE13" s="30"/>
      <c r="AF13" s="33">
        <v>2.3076923076923075E-3</v>
      </c>
      <c r="AG13" s="33"/>
      <c r="AH13" s="30"/>
      <c r="AI13" s="30"/>
      <c r="AJ13" s="30"/>
      <c r="AK13" s="30"/>
      <c r="AL13" s="33">
        <v>1E-4</v>
      </c>
      <c r="AM13" s="33">
        <v>1E-3</v>
      </c>
      <c r="AN13" s="30"/>
      <c r="AO13" s="30"/>
      <c r="AP13" s="30"/>
      <c r="AQ13" s="30"/>
      <c r="AR13" s="30"/>
      <c r="AS13" s="30"/>
      <c r="AT13" s="33">
        <v>2E-3</v>
      </c>
      <c r="AU13" s="33">
        <v>2E-3</v>
      </c>
      <c r="AV13" s="30"/>
      <c r="AW13" s="30"/>
      <c r="AX13" s="31">
        <f t="shared" si="0"/>
        <v>6.5000000000000006E-3</v>
      </c>
      <c r="AY13" s="31">
        <f t="shared" si="1"/>
        <v>2.3E-2</v>
      </c>
      <c r="AZ13" s="31">
        <f t="shared" si="2"/>
        <v>0.10041880341880342</v>
      </c>
      <c r="BA13">
        <f t="shared" si="3"/>
        <v>18.987508218277448</v>
      </c>
    </row>
    <row r="14" spans="1:53" x14ac:dyDescent="0.3">
      <c r="A14" s="29" t="s">
        <v>29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>
        <v>7.22</v>
      </c>
      <c r="AA14" s="30">
        <v>68.930000000000007</v>
      </c>
      <c r="AB14" s="30"/>
      <c r="AC14" s="30"/>
      <c r="AD14" s="30"/>
      <c r="AE14" s="30"/>
      <c r="AF14" s="30"/>
      <c r="AG14" s="30"/>
      <c r="AH14" s="30">
        <v>4.12</v>
      </c>
      <c r="AI14" s="30">
        <v>37.36</v>
      </c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>
        <v>5.96</v>
      </c>
      <c r="AU14" s="30">
        <v>57.31</v>
      </c>
      <c r="AV14" s="30"/>
      <c r="AW14" s="30"/>
      <c r="AX14" s="31">
        <f t="shared" si="0"/>
        <v>17.3</v>
      </c>
      <c r="AY14" s="31">
        <f t="shared" si="1"/>
        <v>163.60000000000002</v>
      </c>
      <c r="AZ14" s="31">
        <f t="shared" si="2"/>
        <v>0</v>
      </c>
      <c r="BA14">
        <f t="shared" si="3"/>
        <v>9.4566473988439324</v>
      </c>
    </row>
    <row r="15" spans="1:53" x14ac:dyDescent="0.3">
      <c r="A15" s="29" t="s">
        <v>30</v>
      </c>
      <c r="B15" s="30"/>
      <c r="C15" s="30"/>
      <c r="D15" s="30"/>
      <c r="E15" s="30"/>
      <c r="F15" s="30"/>
      <c r="G15" s="30"/>
      <c r="H15" s="30"/>
      <c r="I15" s="30"/>
      <c r="J15" s="30">
        <v>0.06</v>
      </c>
      <c r="K15" s="30">
        <v>0.06</v>
      </c>
      <c r="L15" s="30">
        <v>0.65333333333333332</v>
      </c>
      <c r="M15" s="30"/>
      <c r="N15" s="30">
        <v>0.01</v>
      </c>
      <c r="O15" s="30"/>
      <c r="P15" s="30">
        <v>2.8857142857142856E-2</v>
      </c>
      <c r="Q15" s="30"/>
      <c r="R15" s="30">
        <v>0.37</v>
      </c>
      <c r="S15" s="30"/>
      <c r="T15" s="30">
        <v>6.2562499999999996</v>
      </c>
      <c r="U15" s="30"/>
      <c r="V15" s="30"/>
      <c r="W15" s="30"/>
      <c r="X15" s="30"/>
      <c r="Y15" s="30"/>
      <c r="Z15" s="30">
        <v>5.69</v>
      </c>
      <c r="AA15" s="30">
        <v>64.62</v>
      </c>
      <c r="AB15" s="30"/>
      <c r="AC15" s="30"/>
      <c r="AD15" s="30"/>
      <c r="AE15" s="30"/>
      <c r="AF15" s="30"/>
      <c r="AG15" s="30"/>
      <c r="AH15" s="30">
        <v>0.17</v>
      </c>
      <c r="AI15" s="30">
        <v>0.64</v>
      </c>
      <c r="AJ15" s="30">
        <v>2.5830000000000002</v>
      </c>
      <c r="AK15" s="30"/>
      <c r="AL15" s="30">
        <v>0.1</v>
      </c>
      <c r="AM15" s="30"/>
      <c r="AN15" s="30">
        <v>0.76944444444444449</v>
      </c>
      <c r="AO15" s="30"/>
      <c r="AP15" s="30"/>
      <c r="AQ15" s="30"/>
      <c r="AR15" s="30"/>
      <c r="AS15" s="30"/>
      <c r="AT15" s="30">
        <f>0.01+0.07</f>
        <v>0.08</v>
      </c>
      <c r="AU15" s="30">
        <v>0.13</v>
      </c>
      <c r="AV15" s="30">
        <v>0.96433333333333338</v>
      </c>
      <c r="AW15" s="30"/>
      <c r="AX15" s="31">
        <f t="shared" si="0"/>
        <v>6.48</v>
      </c>
      <c r="AY15" s="31">
        <f t="shared" si="1"/>
        <v>65.45</v>
      </c>
      <c r="AZ15" s="31">
        <f t="shared" si="2"/>
        <v>11.255218253968254</v>
      </c>
      <c r="BA15">
        <f t="shared" si="3"/>
        <v>11.837225039192631</v>
      </c>
    </row>
    <row r="16" spans="1:53" x14ac:dyDescent="0.3">
      <c r="A16" s="29" t="s">
        <v>31</v>
      </c>
      <c r="B16" s="30"/>
      <c r="C16" s="30"/>
      <c r="D16" s="30"/>
      <c r="E16" s="30"/>
      <c r="F16" s="30">
        <v>5.8999999999999997E-2</v>
      </c>
      <c r="G16" s="30"/>
      <c r="H16" s="30">
        <v>2.7460238095238094</v>
      </c>
      <c r="I16" s="30"/>
      <c r="J16" s="30">
        <f>0.086+0.205</f>
        <v>0.29099999999999998</v>
      </c>
      <c r="K16" s="30">
        <v>8.218</v>
      </c>
      <c r="L16" s="30">
        <v>3.8017777777777781</v>
      </c>
      <c r="M16" s="30"/>
      <c r="N16" s="30">
        <v>6.0000000000000001E-3</v>
      </c>
      <c r="O16" s="30"/>
      <c r="P16" s="30">
        <v>0.3908571428571429</v>
      </c>
      <c r="Q16" s="30"/>
      <c r="R16" s="30">
        <v>0.122</v>
      </c>
      <c r="S16" s="30"/>
      <c r="T16" s="30">
        <v>2.8953625000000001</v>
      </c>
      <c r="U16" s="30"/>
      <c r="V16" s="30"/>
      <c r="W16" s="30"/>
      <c r="X16" s="30"/>
      <c r="Y16" s="30"/>
      <c r="Z16" s="30">
        <v>0.22600000000000001</v>
      </c>
      <c r="AA16" s="30">
        <v>19.920999999999999</v>
      </c>
      <c r="AB16" s="30"/>
      <c r="AC16" s="30"/>
      <c r="AD16" s="30"/>
      <c r="AE16" s="30"/>
      <c r="AF16" s="30"/>
      <c r="AG16" s="30"/>
      <c r="AH16" s="30">
        <v>3.5000000000000003E-2</v>
      </c>
      <c r="AI16" s="30"/>
      <c r="AJ16" s="30">
        <v>1.9828461538461537</v>
      </c>
      <c r="AK16" s="30"/>
      <c r="AL16" s="30"/>
      <c r="AM16" s="30"/>
      <c r="AN16" s="30"/>
      <c r="AO16" s="30"/>
      <c r="AP16" s="30"/>
      <c r="AQ16" s="30"/>
      <c r="AR16" s="30"/>
      <c r="AS16" s="30"/>
      <c r="AT16" s="30">
        <v>8.4000000000000005E-2</v>
      </c>
      <c r="AU16" s="30">
        <v>2.9999999999999997E-4</v>
      </c>
      <c r="AV16" s="30">
        <v>0.54125000000000001</v>
      </c>
      <c r="AW16" s="30"/>
      <c r="AX16" s="31">
        <f t="shared" si="0"/>
        <v>0.82299999999999995</v>
      </c>
      <c r="AY16" s="31">
        <f t="shared" si="1"/>
        <v>28.139299999999999</v>
      </c>
      <c r="AZ16" s="31">
        <f t="shared" si="2"/>
        <v>12.358117384004883</v>
      </c>
      <c r="BA16">
        <f t="shared" si="3"/>
        <v>49.207068510334004</v>
      </c>
    </row>
    <row r="17" spans="1:53" x14ac:dyDescent="0.3">
      <c r="A17" s="29" t="s">
        <v>32</v>
      </c>
      <c r="B17" s="30"/>
      <c r="C17" s="30"/>
      <c r="D17" s="30"/>
      <c r="E17" s="30"/>
      <c r="F17" s="30">
        <v>4.0000000000000001E-3</v>
      </c>
      <c r="G17" s="30"/>
      <c r="H17" s="30">
        <v>0.13945238095238097</v>
      </c>
      <c r="I17" s="30"/>
      <c r="J17" s="30">
        <v>5.0000000000000001E-3</v>
      </c>
      <c r="K17" s="30">
        <v>4.6700000000000002E-4</v>
      </c>
      <c r="L17" s="30">
        <v>5.5555555555555552E-2</v>
      </c>
      <c r="M17" s="30"/>
      <c r="N17" s="30">
        <f>0.00264+0.00005</f>
        <v>2.6900000000000001E-3</v>
      </c>
      <c r="O17" s="30"/>
      <c r="P17" s="30">
        <v>0.10158857142857142</v>
      </c>
      <c r="Q17" s="30"/>
      <c r="R17" s="30">
        <f>0.00465+0.031</f>
        <v>3.5650000000000001E-2</v>
      </c>
      <c r="S17" s="30"/>
      <c r="T17" s="30">
        <v>0.80812500000000009</v>
      </c>
      <c r="U17" s="30"/>
      <c r="V17" s="30"/>
      <c r="W17" s="30"/>
      <c r="X17" s="30"/>
      <c r="Y17" s="30"/>
      <c r="Z17" s="30">
        <f>0.60778+0.016</f>
        <v>0.62378</v>
      </c>
      <c r="AA17" s="30">
        <f>0.31+0.01458</f>
        <v>0.32457999999999998</v>
      </c>
      <c r="AB17" s="30"/>
      <c r="AC17" s="30"/>
      <c r="AD17" s="30"/>
      <c r="AE17" s="30"/>
      <c r="AF17" s="30"/>
      <c r="AG17" s="30"/>
      <c r="AH17" s="30">
        <v>1.925E-2</v>
      </c>
      <c r="AI17" s="30">
        <v>1.67E-2</v>
      </c>
      <c r="AJ17" s="30">
        <v>0.25692307692307692</v>
      </c>
      <c r="AK17" s="30"/>
      <c r="AL17" s="33">
        <f>0.0013+0.00005</f>
        <v>1.3499999999999999E-3</v>
      </c>
      <c r="AM17" s="30"/>
      <c r="AN17" s="30">
        <v>2.2950000000000002E-2</v>
      </c>
      <c r="AO17" s="30"/>
      <c r="AP17" s="30">
        <v>1.7999999999999999E-2</v>
      </c>
      <c r="AQ17" s="30"/>
      <c r="AR17" s="30">
        <v>0.25055555555555559</v>
      </c>
      <c r="AS17" s="30"/>
      <c r="AT17" s="30">
        <f>0.006+0.002+0.011+0.003+0.022+0.001+0.00015</f>
        <v>4.5149999999999996E-2</v>
      </c>
      <c r="AU17" s="30">
        <f>0.018+0.0605+0.00015</f>
        <v>7.8649999999999998E-2</v>
      </c>
      <c r="AV17" s="30">
        <v>0.1837</v>
      </c>
      <c r="AW17" s="30"/>
      <c r="AX17" s="31">
        <f t="shared" si="0"/>
        <v>0.75487000000000004</v>
      </c>
      <c r="AY17" s="31">
        <f t="shared" si="1"/>
        <v>0.42039699999999997</v>
      </c>
      <c r="AZ17" s="31">
        <f t="shared" si="2"/>
        <v>1.8188501404151405</v>
      </c>
      <c r="BA17">
        <f t="shared" si="3"/>
        <v>2.9664010232425988</v>
      </c>
    </row>
    <row r="18" spans="1:53" x14ac:dyDescent="0.3">
      <c r="A18" s="29" t="s">
        <v>33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>
        <v>1.6</v>
      </c>
      <c r="AU18" s="30">
        <v>22.026</v>
      </c>
      <c r="AV18" s="30">
        <v>9.5055555555555564</v>
      </c>
      <c r="AW18" s="30"/>
      <c r="AX18" s="31">
        <f t="shared" si="0"/>
        <v>1.6</v>
      </c>
      <c r="AY18" s="31">
        <f t="shared" si="1"/>
        <v>22.026</v>
      </c>
      <c r="AZ18" s="31">
        <f t="shared" si="2"/>
        <v>9.5055555555555564</v>
      </c>
      <c r="BA18">
        <f t="shared" si="3"/>
        <v>19.707222222222221</v>
      </c>
    </row>
    <row r="19" spans="1:53" x14ac:dyDescent="0.3">
      <c r="A19" s="29" t="s">
        <v>34</v>
      </c>
      <c r="B19" s="30"/>
      <c r="C19" s="30"/>
      <c r="D19" s="30">
        <v>0.15555555555555556</v>
      </c>
      <c r="E19" s="30"/>
      <c r="F19" s="30"/>
      <c r="G19" s="30"/>
      <c r="H19" s="30">
        <v>0.69142857142857139</v>
      </c>
      <c r="I19" s="30"/>
      <c r="J19" s="30">
        <v>4.7</v>
      </c>
      <c r="K19" s="30">
        <v>61</v>
      </c>
      <c r="L19" s="30">
        <v>0</v>
      </c>
      <c r="M19" s="30"/>
      <c r="N19" s="30"/>
      <c r="O19" s="30"/>
      <c r="P19" s="30">
        <v>0.58171428571428574</v>
      </c>
      <c r="Q19" s="30"/>
      <c r="R19" s="30">
        <v>0.2</v>
      </c>
      <c r="S19" s="30"/>
      <c r="T19" s="30">
        <v>6.3887499999999999</v>
      </c>
      <c r="U19" s="30"/>
      <c r="V19" s="30">
        <v>6.6</v>
      </c>
      <c r="W19" s="30">
        <v>43.6</v>
      </c>
      <c r="X19" s="30"/>
      <c r="Y19" s="30"/>
      <c r="Z19" s="30">
        <v>9.1</v>
      </c>
      <c r="AA19" s="30">
        <v>74.900000000000006</v>
      </c>
      <c r="AB19" s="30"/>
      <c r="AC19" s="30"/>
      <c r="AD19" s="30"/>
      <c r="AE19" s="30"/>
      <c r="AF19" s="30">
        <v>4.0769230769230766E-2</v>
      </c>
      <c r="AG19" s="30"/>
      <c r="AH19" s="30">
        <v>2.7</v>
      </c>
      <c r="AI19" s="30"/>
      <c r="AJ19" s="30">
        <v>50.56</v>
      </c>
      <c r="AK19" s="30"/>
      <c r="AL19" s="30">
        <v>2</v>
      </c>
      <c r="AM19" s="30"/>
      <c r="AN19" s="30">
        <v>13.109444444444444</v>
      </c>
      <c r="AO19" s="30"/>
      <c r="AP19" s="30"/>
      <c r="AQ19" s="30"/>
      <c r="AR19" s="30"/>
      <c r="AS19" s="30"/>
      <c r="AT19" s="30">
        <v>5.3</v>
      </c>
      <c r="AU19" s="30">
        <v>32</v>
      </c>
      <c r="AV19" s="30"/>
      <c r="AW19" s="30"/>
      <c r="AX19" s="31">
        <f t="shared" si="0"/>
        <v>30.6</v>
      </c>
      <c r="AY19" s="31">
        <f t="shared" si="1"/>
        <v>211.5</v>
      </c>
      <c r="AZ19" s="31">
        <f t="shared" si="2"/>
        <v>71.527662087912091</v>
      </c>
      <c r="BA19">
        <f t="shared" si="3"/>
        <v>9.249270002872942</v>
      </c>
    </row>
    <row r="20" spans="1:53" x14ac:dyDescent="0.3">
      <c r="A20" s="29" t="s">
        <v>35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1">
        <f t="shared" si="0"/>
        <v>0</v>
      </c>
      <c r="AY20" s="31">
        <f t="shared" si="1"/>
        <v>0</v>
      </c>
      <c r="AZ20" s="31">
        <f t="shared" si="2"/>
        <v>0</v>
      </c>
      <c r="BA20" t="e">
        <f t="shared" si="3"/>
        <v>#DIV/0!</v>
      </c>
    </row>
    <row r="21" spans="1:53" x14ac:dyDescent="0.3">
      <c r="A21" s="29" t="s">
        <v>58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1">
        <f t="shared" si="0"/>
        <v>0</v>
      </c>
      <c r="AY21" s="31">
        <f t="shared" si="1"/>
        <v>0</v>
      </c>
      <c r="AZ21" s="31">
        <f t="shared" si="2"/>
        <v>0</v>
      </c>
      <c r="BA21" t="e">
        <f t="shared" si="3"/>
        <v>#DIV/0!</v>
      </c>
    </row>
    <row r="22" spans="1:53" x14ac:dyDescent="0.3">
      <c r="A22" s="29" t="s">
        <v>37</v>
      </c>
      <c r="B22" s="30"/>
      <c r="C22" s="30"/>
      <c r="D22" s="30"/>
      <c r="E22" s="30"/>
      <c r="F22" s="30"/>
      <c r="G22" s="30"/>
      <c r="H22" s="30"/>
      <c r="I22" s="30"/>
      <c r="J22" s="30">
        <v>0.8</v>
      </c>
      <c r="K22" s="30">
        <v>10.496</v>
      </c>
      <c r="L22" s="30">
        <v>0</v>
      </c>
      <c r="M22" s="30"/>
      <c r="N22" s="30"/>
      <c r="O22" s="30"/>
      <c r="P22" s="30"/>
      <c r="Q22" s="30"/>
      <c r="R22" s="30">
        <v>1.96</v>
      </c>
      <c r="S22" s="30">
        <v>38.003999999999998</v>
      </c>
      <c r="T22" s="30"/>
      <c r="U22" s="30"/>
      <c r="V22" s="30"/>
      <c r="W22" s="30"/>
      <c r="X22" s="30"/>
      <c r="Y22" s="30"/>
      <c r="Z22" s="30">
        <v>7.7549999999999999</v>
      </c>
      <c r="AA22" s="30">
        <v>85.072000000000003</v>
      </c>
      <c r="AB22" s="30"/>
      <c r="AC22" s="30"/>
      <c r="AD22" s="30"/>
      <c r="AE22" s="30"/>
      <c r="AF22" s="30"/>
      <c r="AG22" s="30"/>
      <c r="AH22" s="30">
        <v>2.3809999999999998</v>
      </c>
      <c r="AI22" s="30">
        <v>13.262</v>
      </c>
      <c r="AJ22" s="30"/>
      <c r="AK22" s="30"/>
      <c r="AL22" s="30">
        <v>0.26300000000000001</v>
      </c>
      <c r="AM22" s="30">
        <v>0.999</v>
      </c>
      <c r="AN22" s="30"/>
      <c r="AO22" s="30"/>
      <c r="AP22" s="30"/>
      <c r="AQ22" s="30"/>
      <c r="AR22" s="30"/>
      <c r="AS22" s="30"/>
      <c r="AT22" s="30">
        <v>3.9049999999999998</v>
      </c>
      <c r="AU22" s="30">
        <v>52.561</v>
      </c>
      <c r="AV22" s="30"/>
      <c r="AW22" s="30"/>
      <c r="AX22" s="31">
        <f t="shared" si="0"/>
        <v>17.064</v>
      </c>
      <c r="AY22" s="31">
        <f t="shared" si="1"/>
        <v>200.39400000000001</v>
      </c>
      <c r="AZ22" s="31">
        <f t="shared" si="2"/>
        <v>0</v>
      </c>
      <c r="BA22">
        <f t="shared" si="3"/>
        <v>11.74367088607595</v>
      </c>
    </row>
    <row r="23" spans="1:53" x14ac:dyDescent="0.3">
      <c r="A23" s="29" t="s">
        <v>38</v>
      </c>
      <c r="B23" s="30"/>
      <c r="C23" s="30"/>
      <c r="D23" s="30"/>
      <c r="E23" s="30"/>
      <c r="F23" s="30"/>
      <c r="G23" s="30"/>
      <c r="H23" s="30"/>
      <c r="I23" s="30"/>
      <c r="J23" s="30">
        <v>3</v>
      </c>
      <c r="K23" s="30">
        <v>13.05</v>
      </c>
      <c r="L23" s="30"/>
      <c r="M23" s="30"/>
      <c r="N23" s="30"/>
      <c r="O23" s="30"/>
      <c r="P23" s="30"/>
      <c r="Q23" s="30"/>
      <c r="R23" s="30">
        <v>1</v>
      </c>
      <c r="S23" s="30">
        <v>5</v>
      </c>
      <c r="T23" s="30"/>
      <c r="U23" s="30"/>
      <c r="V23" s="30">
        <v>2</v>
      </c>
      <c r="W23" s="30">
        <v>3.5</v>
      </c>
      <c r="X23" s="30"/>
      <c r="Y23" s="30"/>
      <c r="Z23" s="30">
        <v>8</v>
      </c>
      <c r="AA23" s="30">
        <v>70</v>
      </c>
      <c r="AB23" s="30"/>
      <c r="AC23" s="30"/>
      <c r="AD23" s="30"/>
      <c r="AE23" s="30"/>
      <c r="AF23" s="30"/>
      <c r="AG23" s="30"/>
      <c r="AH23" s="30">
        <v>6</v>
      </c>
      <c r="AI23" s="30">
        <v>15</v>
      </c>
      <c r="AJ23" s="30"/>
      <c r="AK23" s="30"/>
      <c r="AL23" s="30">
        <v>1</v>
      </c>
      <c r="AM23" s="30">
        <v>6.1</v>
      </c>
      <c r="AN23" s="30"/>
      <c r="AO23" s="30"/>
      <c r="AP23" s="30"/>
      <c r="AQ23" s="30"/>
      <c r="AR23" s="30"/>
      <c r="AS23" s="30"/>
      <c r="AT23" s="30">
        <v>2</v>
      </c>
      <c r="AU23" s="30">
        <v>10</v>
      </c>
      <c r="AV23" s="30">
        <v>43.966666666666669</v>
      </c>
      <c r="AW23" s="30"/>
      <c r="AX23" s="31">
        <f t="shared" si="0"/>
        <v>23</v>
      </c>
      <c r="AY23" s="31">
        <f t="shared" si="1"/>
        <v>122.64999999999999</v>
      </c>
      <c r="AZ23" s="31">
        <f t="shared" si="2"/>
        <v>43.966666666666669</v>
      </c>
      <c r="BA23">
        <f t="shared" si="3"/>
        <v>7.244202898550725</v>
      </c>
    </row>
    <row r="24" spans="1:53" x14ac:dyDescent="0.3">
      <c r="A24" s="34" t="s">
        <v>39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>
        <v>0.76</v>
      </c>
      <c r="AU24" s="30">
        <v>0.28199999999999997</v>
      </c>
      <c r="AV24" s="30">
        <v>9.7777777777777776E-3</v>
      </c>
      <c r="AW24" s="30"/>
      <c r="AX24" s="31">
        <f t="shared" si="0"/>
        <v>0.76</v>
      </c>
      <c r="AY24" s="31">
        <f t="shared" si="1"/>
        <v>0.28199999999999997</v>
      </c>
      <c r="AZ24" s="31">
        <f t="shared" si="2"/>
        <v>9.7777777777777776E-3</v>
      </c>
      <c r="BA24">
        <f t="shared" si="3"/>
        <v>0.38391812865497071</v>
      </c>
    </row>
    <row r="25" spans="1:53" x14ac:dyDescent="0.3">
      <c r="A25" s="29" t="s">
        <v>40</v>
      </c>
      <c r="B25" s="30">
        <v>2.1000000000000001E-2</v>
      </c>
      <c r="C25" s="30"/>
      <c r="D25" s="30">
        <v>0.70277777777777772</v>
      </c>
      <c r="E25" s="30"/>
      <c r="F25" s="30">
        <v>3.0000000000000001E-3</v>
      </c>
      <c r="G25" s="30"/>
      <c r="H25" s="30">
        <v>0.29619047619047623</v>
      </c>
      <c r="I25" s="30"/>
      <c r="J25" s="30">
        <v>3.0000000000000001E-3</v>
      </c>
      <c r="K25" s="30"/>
      <c r="L25" s="30">
        <v>7.0833333333333331E-2</v>
      </c>
      <c r="M25" s="30"/>
      <c r="N25" s="30">
        <v>1.2999999999999999E-2</v>
      </c>
      <c r="O25" s="30"/>
      <c r="P25" s="30">
        <v>0.83285714285714285</v>
      </c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>
        <v>1.2E-2</v>
      </c>
      <c r="AE25" s="30"/>
      <c r="AF25" s="30">
        <v>0.46884615384615386</v>
      </c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1">
        <f t="shared" si="0"/>
        <v>5.2000000000000005E-2</v>
      </c>
      <c r="AY25" s="31">
        <f t="shared" si="1"/>
        <v>0</v>
      </c>
      <c r="AZ25" s="31">
        <f t="shared" si="2"/>
        <v>2.3715048840048838</v>
      </c>
      <c r="BA25">
        <f t="shared" si="3"/>
        <v>45.605863153940071</v>
      </c>
    </row>
    <row r="26" spans="1:53" x14ac:dyDescent="0.3">
      <c r="A26" s="29" t="s">
        <v>41</v>
      </c>
      <c r="B26" s="30">
        <v>3.5999999999999997E-2</v>
      </c>
      <c r="C26" s="30"/>
      <c r="D26" s="30">
        <v>0.46344444444444444</v>
      </c>
      <c r="E26" s="30"/>
      <c r="F26" s="30">
        <v>2.5000000000000001E-2</v>
      </c>
      <c r="G26" s="30"/>
      <c r="H26" s="30">
        <v>0.11</v>
      </c>
      <c r="I26" s="30"/>
      <c r="J26" s="30"/>
      <c r="K26" s="30"/>
      <c r="L26" s="30"/>
      <c r="M26" s="30"/>
      <c r="N26" s="30">
        <v>2.3E-2</v>
      </c>
      <c r="O26" s="30"/>
      <c r="P26" s="30">
        <v>0.18514285714285714</v>
      </c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>
        <v>0.02</v>
      </c>
      <c r="AE26" s="30"/>
      <c r="AF26" s="30">
        <v>6.076923076923077E-3</v>
      </c>
      <c r="AG26" s="30"/>
      <c r="AH26" s="30">
        <v>0.02</v>
      </c>
      <c r="AI26" s="30"/>
      <c r="AJ26" s="30">
        <v>0.46230769230769231</v>
      </c>
      <c r="AK26" s="30"/>
      <c r="AL26" s="30"/>
      <c r="AM26" s="30"/>
      <c r="AN26" s="30"/>
      <c r="AO26" s="30"/>
      <c r="AP26" s="30"/>
      <c r="AQ26" s="30"/>
      <c r="AR26" s="30"/>
      <c r="AS26" s="30"/>
      <c r="AT26" s="30">
        <f>0.071+0.003</f>
        <v>7.3999999999999996E-2</v>
      </c>
      <c r="AU26" s="30">
        <f>0.1+171.47</f>
        <v>171.57</v>
      </c>
      <c r="AV26" s="30"/>
      <c r="AW26" s="30"/>
      <c r="AX26" s="31">
        <f t="shared" si="0"/>
        <v>0.19800000000000001</v>
      </c>
      <c r="AY26" s="31">
        <f t="shared" si="1"/>
        <v>171.57</v>
      </c>
      <c r="AZ26" s="31">
        <f t="shared" si="2"/>
        <v>1.2269719169719169</v>
      </c>
      <c r="BA26">
        <f t="shared" si="3"/>
        <v>872.71197937864588</v>
      </c>
    </row>
    <row r="27" spans="1:53" x14ac:dyDescent="0.3">
      <c r="A27" s="32" t="s">
        <v>42</v>
      </c>
      <c r="B27" s="33">
        <v>2.48E-3</v>
      </c>
      <c r="C27" s="30"/>
      <c r="D27" s="30">
        <v>1.3777777777777778E-2</v>
      </c>
      <c r="E27" s="30"/>
      <c r="F27" s="30"/>
      <c r="G27" s="30"/>
      <c r="H27" s="30"/>
      <c r="I27" s="30"/>
      <c r="J27" s="30"/>
      <c r="K27" s="30"/>
      <c r="L27" s="30"/>
      <c r="M27" s="30"/>
      <c r="N27" s="30">
        <v>9.7999999999999997E-4</v>
      </c>
      <c r="O27" s="30"/>
      <c r="P27" s="30">
        <v>5.04E-2</v>
      </c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3">
        <v>5.4000000000000001E-4</v>
      </c>
      <c r="AE27" s="30"/>
      <c r="AF27" s="30">
        <v>9.9692307692307702E-3</v>
      </c>
      <c r="AG27" s="30"/>
      <c r="AH27" s="33">
        <v>2.0200000000000001E-3</v>
      </c>
      <c r="AI27" s="30"/>
      <c r="AJ27" s="30">
        <v>0.15538461538461537</v>
      </c>
      <c r="AK27" s="30"/>
      <c r="AL27" s="30"/>
      <c r="AM27" s="30"/>
      <c r="AN27" s="30"/>
      <c r="AO27" s="30"/>
      <c r="AP27" s="30"/>
      <c r="AQ27" s="30"/>
      <c r="AR27" s="30"/>
      <c r="AS27" s="30"/>
      <c r="AT27" s="33">
        <f>0.00216+0.0015</f>
        <v>3.6600000000000001E-3</v>
      </c>
      <c r="AU27" s="30"/>
      <c r="AV27" s="30">
        <v>0.13033333333333333</v>
      </c>
      <c r="AW27" s="30"/>
      <c r="AX27" s="31">
        <f t="shared" si="0"/>
        <v>9.6800000000000011E-3</v>
      </c>
      <c r="AY27" s="31">
        <f t="shared" si="1"/>
        <v>0</v>
      </c>
      <c r="AZ27" s="31">
        <f t="shared" si="2"/>
        <v>0.35986495726495726</v>
      </c>
      <c r="BA27">
        <f t="shared" si="3"/>
        <v>37.176131948859215</v>
      </c>
    </row>
    <row r="28" spans="1:53" x14ac:dyDescent="0.3">
      <c r="A28" s="29" t="s">
        <v>43</v>
      </c>
      <c r="B28" s="30"/>
      <c r="C28" s="30"/>
      <c r="D28" s="30">
        <v>0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>
        <v>2.37</v>
      </c>
      <c r="S28" s="30"/>
      <c r="T28" s="30">
        <v>29.375</v>
      </c>
      <c r="U28" s="30"/>
      <c r="V28" s="30"/>
      <c r="W28" s="30"/>
      <c r="X28" s="30"/>
      <c r="Y28" s="30"/>
      <c r="Z28" s="30">
        <v>2.68</v>
      </c>
      <c r="AA28" s="30">
        <v>24.58</v>
      </c>
      <c r="AB28" s="30"/>
      <c r="AC28" s="30"/>
      <c r="AD28" s="30"/>
      <c r="AE28" s="30"/>
      <c r="AF28" s="30"/>
      <c r="AG28" s="30"/>
      <c r="AH28" s="30">
        <v>1.87</v>
      </c>
      <c r="AI28" s="30"/>
      <c r="AJ28" s="30">
        <v>27.53846153846154</v>
      </c>
      <c r="AK28" s="30"/>
      <c r="AL28" s="30">
        <v>0.51</v>
      </c>
      <c r="AM28" s="30">
        <v>12.82</v>
      </c>
      <c r="AN28" s="30"/>
      <c r="AO28" s="30"/>
      <c r="AP28" s="30"/>
      <c r="AQ28" s="30"/>
      <c r="AR28" s="30"/>
      <c r="AS28" s="30"/>
      <c r="AT28" s="30">
        <v>0.01</v>
      </c>
      <c r="AU28" s="30"/>
      <c r="AV28" s="30">
        <v>0.4861111111111111</v>
      </c>
      <c r="AW28" s="30"/>
      <c r="AX28" s="31">
        <f t="shared" si="0"/>
        <v>7.44</v>
      </c>
      <c r="AY28" s="31">
        <f t="shared" si="1"/>
        <v>37.4</v>
      </c>
      <c r="AZ28" s="31">
        <f t="shared" si="2"/>
        <v>57.399572649572654</v>
      </c>
      <c r="BA28">
        <f t="shared" si="3"/>
        <v>12.741878044297399</v>
      </c>
    </row>
    <row r="29" spans="1:53" x14ac:dyDescent="0.3">
      <c r="A29" s="32" t="s">
        <v>44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>
        <v>0.03</v>
      </c>
      <c r="W29" s="30">
        <v>0.122</v>
      </c>
      <c r="X29" s="30"/>
      <c r="Y29" s="30"/>
      <c r="Z29" s="30">
        <v>8.5000000000000006E-2</v>
      </c>
      <c r="AA29" s="30">
        <v>0.72</v>
      </c>
      <c r="AB29" s="30"/>
      <c r="AC29" s="30"/>
      <c r="AD29" s="30"/>
      <c r="AE29" s="30"/>
      <c r="AF29" s="30"/>
      <c r="AG29" s="30"/>
      <c r="AH29" s="30">
        <v>5.0000000000000001E-4</v>
      </c>
      <c r="AI29" s="30">
        <v>0.26600000000000001</v>
      </c>
      <c r="AJ29" s="30"/>
      <c r="AK29" s="30"/>
      <c r="AL29" s="30">
        <v>6.0000000000000001E-3</v>
      </c>
      <c r="AM29" s="33">
        <v>4.0000000000000001E-3</v>
      </c>
      <c r="AN29" s="30"/>
      <c r="AO29" s="30"/>
      <c r="AP29" s="30"/>
      <c r="AQ29" s="30"/>
      <c r="AR29" s="30"/>
      <c r="AS29" s="30"/>
      <c r="AT29" s="30">
        <v>1.9E-2</v>
      </c>
      <c r="AU29" s="30">
        <v>8.4999999999999992E-2</v>
      </c>
      <c r="AV29" s="30"/>
      <c r="AW29" s="30"/>
      <c r="AX29" s="31">
        <f t="shared" si="0"/>
        <v>0.14050000000000001</v>
      </c>
      <c r="AY29" s="31">
        <f t="shared" si="1"/>
        <v>1.1970000000000001</v>
      </c>
      <c r="AZ29" s="31">
        <f t="shared" si="2"/>
        <v>0</v>
      </c>
      <c r="BA29">
        <f t="shared" si="3"/>
        <v>8.5195729537366542</v>
      </c>
    </row>
    <row r="30" spans="1:53" x14ac:dyDescent="0.3">
      <c r="A30" s="29" t="s">
        <v>45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>
        <v>1.351</v>
      </c>
      <c r="AU30" s="30">
        <v>10.462999999999999</v>
      </c>
      <c r="AV30" s="30"/>
      <c r="AW30" s="30"/>
      <c r="AX30" s="31">
        <f t="shared" si="0"/>
        <v>1.351</v>
      </c>
      <c r="AY30" s="31">
        <f t="shared" si="1"/>
        <v>10.462999999999999</v>
      </c>
      <c r="AZ30" s="31">
        <f t="shared" si="2"/>
        <v>0</v>
      </c>
      <c r="BA30">
        <f t="shared" si="3"/>
        <v>7.7446336047372313</v>
      </c>
    </row>
    <row r="31" spans="1:53" x14ac:dyDescent="0.3">
      <c r="A31" s="29" t="s">
        <v>46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>
        <v>2.5299999999999998</v>
      </c>
      <c r="AU31" s="30">
        <v>2.73</v>
      </c>
      <c r="AV31" s="30"/>
      <c r="AW31" s="30"/>
      <c r="AX31" s="31">
        <f t="shared" si="0"/>
        <v>2.5299999999999998</v>
      </c>
      <c r="AY31" s="31">
        <f t="shared" si="1"/>
        <v>2.73</v>
      </c>
      <c r="AZ31" s="31">
        <f t="shared" si="2"/>
        <v>0</v>
      </c>
      <c r="BA31">
        <f t="shared" si="3"/>
        <v>1.0790513833992095</v>
      </c>
    </row>
    <row r="32" spans="1:53" x14ac:dyDescent="0.3">
      <c r="A32" s="29" t="s">
        <v>47</v>
      </c>
      <c r="B32" s="30">
        <v>0.01</v>
      </c>
      <c r="C32" s="30"/>
      <c r="D32" s="30">
        <v>2.7222222222222224E-2</v>
      </c>
      <c r="E32" s="30"/>
      <c r="F32" s="30">
        <v>8.0000000000000002E-3</v>
      </c>
      <c r="G32" s="30"/>
      <c r="H32" s="30">
        <v>4.3809523809523805E-2</v>
      </c>
      <c r="I32" s="30"/>
      <c r="J32" s="30"/>
      <c r="K32" s="30"/>
      <c r="L32" s="30"/>
      <c r="M32" s="30"/>
      <c r="N32" s="30">
        <v>3.2000000000000001E-2</v>
      </c>
      <c r="O32" s="30"/>
      <c r="P32" s="30">
        <v>0.10571428571428572</v>
      </c>
      <c r="Q32" s="30"/>
      <c r="R32" s="30">
        <v>3.2000000000000001E-2</v>
      </c>
      <c r="S32" s="30"/>
      <c r="T32" s="30">
        <v>0.83750000000000002</v>
      </c>
      <c r="U32" s="30"/>
      <c r="V32" s="30"/>
      <c r="W32" s="30"/>
      <c r="X32" s="30"/>
      <c r="Y32" s="30"/>
      <c r="Z32" s="30">
        <v>1.4999999999999999E-2</v>
      </c>
      <c r="AA32" s="30">
        <v>16</v>
      </c>
      <c r="AB32" s="30"/>
      <c r="AC32" s="30"/>
      <c r="AD32" s="30">
        <v>3.6999999999999998E-2</v>
      </c>
      <c r="AE32" s="30"/>
      <c r="AF32" s="30">
        <v>0.24615384615384617</v>
      </c>
      <c r="AG32" s="30"/>
      <c r="AH32" s="30">
        <v>2.5000000000000001E-2</v>
      </c>
      <c r="AI32" s="30"/>
      <c r="AJ32" s="30">
        <v>0.18461538461538463</v>
      </c>
      <c r="AK32" s="30"/>
      <c r="AL32" s="30"/>
      <c r="AM32" s="30"/>
      <c r="AN32" s="30"/>
      <c r="AO32" s="30"/>
      <c r="AP32" s="30"/>
      <c r="AQ32" s="30"/>
      <c r="AR32" s="30"/>
      <c r="AS32" s="30"/>
      <c r="AT32" s="30">
        <f>0.016+0.04+0.018+0.003</f>
        <v>7.6999999999999999E-2</v>
      </c>
      <c r="AU32" s="30"/>
      <c r="AV32" s="30">
        <v>0.435</v>
      </c>
      <c r="AW32" s="30"/>
      <c r="AX32" s="31">
        <f t="shared" si="0"/>
        <v>0.23599999999999999</v>
      </c>
      <c r="AY32" s="31">
        <f t="shared" si="1"/>
        <v>16</v>
      </c>
      <c r="AZ32" s="31">
        <f t="shared" si="2"/>
        <v>1.8800152625152626</v>
      </c>
      <c r="BA32">
        <f t="shared" si="3"/>
        <v>75.762776536081617</v>
      </c>
    </row>
    <row r="33" spans="1:53" x14ac:dyDescent="0.3">
      <c r="A33" s="29" t="s">
        <v>48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>
        <v>55.03</v>
      </c>
      <c r="AU33" s="30">
        <v>343.65</v>
      </c>
      <c r="AV33" s="30">
        <f>2317.304/180</f>
        <v>12.873911111111111</v>
      </c>
      <c r="AW33" s="30"/>
      <c r="AX33" s="31">
        <f t="shared" si="0"/>
        <v>55.03</v>
      </c>
      <c r="AY33" s="31">
        <f t="shared" si="1"/>
        <v>343.65</v>
      </c>
      <c r="AZ33" s="31">
        <f t="shared" si="2"/>
        <v>12.873911111111111</v>
      </c>
      <c r="BA33">
        <f t="shared" si="3"/>
        <v>6.4787190825206444</v>
      </c>
    </row>
    <row r="34" spans="1:53" x14ac:dyDescent="0.3">
      <c r="A34" s="35" t="s">
        <v>65</v>
      </c>
      <c r="B34" s="30"/>
      <c r="C34" s="30"/>
      <c r="D34" s="30"/>
      <c r="E34" s="30"/>
      <c r="F34" s="30"/>
      <c r="G34" s="30"/>
      <c r="H34" s="30"/>
      <c r="I34" s="30"/>
      <c r="J34" s="30">
        <v>1.2350000000000001</v>
      </c>
      <c r="K34" s="30">
        <v>14.202999999999999</v>
      </c>
      <c r="L34" s="30"/>
      <c r="M34" s="30"/>
      <c r="N34" s="30">
        <v>5.7000000000000002E-2</v>
      </c>
      <c r="O34" s="30"/>
      <c r="P34" s="30">
        <v>1.9428571428571428</v>
      </c>
      <c r="Q34" s="30"/>
      <c r="R34" s="30"/>
      <c r="S34" s="30"/>
      <c r="T34" s="30"/>
      <c r="U34" s="30"/>
      <c r="V34" s="30">
        <v>0.84299999999999997</v>
      </c>
      <c r="W34" s="30">
        <v>4.2149999999999999</v>
      </c>
      <c r="X34" s="30"/>
      <c r="Y34" s="30"/>
      <c r="Z34" s="30">
        <v>2.4580000000000002</v>
      </c>
      <c r="AA34" s="30">
        <v>18.434999999999999</v>
      </c>
      <c r="AB34" s="30"/>
      <c r="AC34" s="30"/>
      <c r="AD34" s="30"/>
      <c r="AE34" s="30"/>
      <c r="AF34" s="30"/>
      <c r="AG34" s="30"/>
      <c r="AH34" s="30">
        <v>1.0780000000000001</v>
      </c>
      <c r="AI34" s="30"/>
      <c r="AJ34" s="30">
        <v>33.169230769230772</v>
      </c>
      <c r="AK34" s="30"/>
      <c r="AL34" s="30">
        <v>2.7E-2</v>
      </c>
      <c r="AM34" s="30">
        <v>0.02</v>
      </c>
      <c r="AN34" s="30"/>
      <c r="AO34" s="30"/>
      <c r="AP34" s="30"/>
      <c r="AQ34" s="30"/>
      <c r="AR34" s="30"/>
      <c r="AS34" s="30"/>
      <c r="AT34" s="30">
        <v>1.1910000000000001</v>
      </c>
      <c r="AU34" s="30">
        <v>3.8109999999999999</v>
      </c>
      <c r="AV34" s="30"/>
      <c r="AW34" s="30"/>
      <c r="AX34" s="31">
        <f t="shared" si="0"/>
        <v>6.8890000000000002</v>
      </c>
      <c r="AY34" s="31">
        <f t="shared" si="1"/>
        <v>40.683999999999997</v>
      </c>
      <c r="AZ34" s="31">
        <f t="shared" si="2"/>
        <v>35.112087912087915</v>
      </c>
      <c r="BA34">
        <f t="shared" si="3"/>
        <v>11.002480463360126</v>
      </c>
    </row>
    <row r="35" spans="1:53" x14ac:dyDescent="0.3">
      <c r="A35" s="29" t="s">
        <v>49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1">
        <f t="shared" si="0"/>
        <v>0</v>
      </c>
      <c r="AY35" s="31">
        <f t="shared" si="1"/>
        <v>0</v>
      </c>
      <c r="AZ35" s="31">
        <f t="shared" si="2"/>
        <v>0</v>
      </c>
      <c r="BA35" t="e">
        <f t="shared" si="3"/>
        <v>#DIV/0!</v>
      </c>
    </row>
    <row r="36" spans="1:53" x14ac:dyDescent="0.3">
      <c r="A36" s="29" t="s">
        <v>50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>
        <v>3.1850000000000001</v>
      </c>
      <c r="S36" s="30"/>
      <c r="T36" s="30">
        <v>39.8125</v>
      </c>
      <c r="U36" s="30"/>
      <c r="V36" s="30"/>
      <c r="W36" s="30"/>
      <c r="X36" s="30"/>
      <c r="Y36" s="30"/>
      <c r="Z36" s="30">
        <v>3.6829999999999998</v>
      </c>
      <c r="AA36" s="30">
        <v>7.3659999999999997</v>
      </c>
      <c r="AB36" s="30"/>
      <c r="AC36" s="30"/>
      <c r="AD36" s="30"/>
      <c r="AE36" s="30"/>
      <c r="AF36" s="30"/>
      <c r="AG36" s="30"/>
      <c r="AH36" s="30">
        <v>9.7099999999999991</v>
      </c>
      <c r="AI36" s="30">
        <v>24.792999999999999</v>
      </c>
      <c r="AJ36" s="30">
        <v>14.246153846153845</v>
      </c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1">
        <f t="shared" si="0"/>
        <v>16.577999999999999</v>
      </c>
      <c r="AY36" s="31">
        <f t="shared" si="1"/>
        <v>32.158999999999999</v>
      </c>
      <c r="AZ36" s="31">
        <f t="shared" si="2"/>
        <v>54.058653846153845</v>
      </c>
      <c r="BA36">
        <f t="shared" si="3"/>
        <v>5.2007270989355678</v>
      </c>
    </row>
    <row r="37" spans="1:53" x14ac:dyDescent="0.3">
      <c r="A37" s="29" t="s">
        <v>51</v>
      </c>
      <c r="B37" s="30"/>
      <c r="C37" s="30"/>
      <c r="D37" s="30"/>
      <c r="E37" s="30"/>
      <c r="F37" s="30">
        <v>2.3380000000000001E-2</v>
      </c>
      <c r="G37" s="30"/>
      <c r="H37" s="30">
        <f>261.89/210</f>
        <v>1.247095238095238</v>
      </c>
      <c r="I37" s="30"/>
      <c r="J37" s="30"/>
      <c r="K37" s="30"/>
      <c r="L37" s="30"/>
      <c r="M37" s="30"/>
      <c r="N37" s="30">
        <v>7.1999999999999995E-2</v>
      </c>
      <c r="O37" s="30"/>
      <c r="P37" s="30">
        <v>7.2003999999999992</v>
      </c>
      <c r="Q37" s="30"/>
      <c r="R37" s="30">
        <v>0.434</v>
      </c>
      <c r="S37" s="30">
        <v>0.53800000000000003</v>
      </c>
      <c r="T37" s="30"/>
      <c r="U37" s="30"/>
      <c r="V37" s="30"/>
      <c r="W37" s="30"/>
      <c r="X37" s="30"/>
      <c r="Y37" s="30"/>
      <c r="Z37" s="30">
        <v>0.60299999999999998</v>
      </c>
      <c r="AA37" s="30">
        <v>0.95499999999999996</v>
      </c>
      <c r="AB37" s="30"/>
      <c r="AC37" s="30"/>
      <c r="AD37" s="30"/>
      <c r="AE37" s="30"/>
      <c r="AF37" s="30"/>
      <c r="AG37" s="30"/>
      <c r="AH37" s="30">
        <v>9.6000000000000002E-2</v>
      </c>
      <c r="AI37" s="30">
        <v>8.6999999999999994E-2</v>
      </c>
      <c r="AJ37" s="30"/>
      <c r="AK37" s="30"/>
      <c r="AL37" s="30">
        <v>2.7E-2</v>
      </c>
      <c r="AM37" s="30">
        <v>0.32</v>
      </c>
      <c r="AN37" s="30"/>
      <c r="AO37" s="30"/>
      <c r="AP37" s="30"/>
      <c r="AQ37" s="30"/>
      <c r="AR37" s="30"/>
      <c r="AS37" s="30"/>
      <c r="AT37" s="30">
        <f>0.088+0.008</f>
        <v>9.6000000000000002E-2</v>
      </c>
      <c r="AU37" s="30">
        <f>0.112+0.012</f>
        <v>0.124</v>
      </c>
      <c r="AV37" s="30"/>
      <c r="AW37" s="30"/>
      <c r="AX37" s="31">
        <f t="shared" si="0"/>
        <v>1.35138</v>
      </c>
      <c r="AY37" s="31">
        <f t="shared" si="1"/>
        <v>2.024</v>
      </c>
      <c r="AZ37" s="31">
        <f t="shared" si="2"/>
        <v>8.4474952380952377</v>
      </c>
      <c r="BA37">
        <f t="shared" si="3"/>
        <v>7.7487422028557749</v>
      </c>
    </row>
    <row r="38" spans="1:53" x14ac:dyDescent="0.3">
      <c r="A38" s="29" t="s">
        <v>52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>
        <v>24.85</v>
      </c>
      <c r="AU38" s="30">
        <v>66.5</v>
      </c>
      <c r="AV38" s="30">
        <v>145.19444444444446</v>
      </c>
      <c r="AW38" s="30"/>
      <c r="AX38" s="31">
        <f t="shared" si="0"/>
        <v>24.85</v>
      </c>
      <c r="AY38" s="31">
        <f t="shared" si="1"/>
        <v>66.5</v>
      </c>
      <c r="AZ38" s="31">
        <f t="shared" si="2"/>
        <v>145.19444444444446</v>
      </c>
      <c r="BA38">
        <f t="shared" si="3"/>
        <v>8.5188911245249272</v>
      </c>
    </row>
    <row r="39" spans="1:53" x14ac:dyDescent="0.3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1"/>
      <c r="AY39" s="31"/>
      <c r="AZ39" s="31"/>
      <c r="BA39" t="e">
        <f t="shared" si="3"/>
        <v>#DIV/0!</v>
      </c>
    </row>
    <row r="40" spans="1:53" x14ac:dyDescent="0.3">
      <c r="A40" s="333" t="s">
        <v>53</v>
      </c>
      <c r="B40" s="334">
        <f>SUM(B4:B39)</f>
        <v>0.13427999999999998</v>
      </c>
      <c r="C40" s="334">
        <f t="shared" ref="C40:AZ40" si="4">SUM(C4:C39)</f>
        <v>0.39600000000000002</v>
      </c>
      <c r="D40" s="334">
        <f t="shared" si="4"/>
        <v>2.5772222222222219</v>
      </c>
      <c r="E40" s="307">
        <f>(D40+C40)/B40</f>
        <v>22.141958759474399</v>
      </c>
      <c r="F40" s="334">
        <f t="shared" si="4"/>
        <v>0.21238000000000001</v>
      </c>
      <c r="G40" s="334">
        <f t="shared" si="4"/>
        <v>0.59399999999999997</v>
      </c>
      <c r="H40" s="334">
        <f t="shared" si="4"/>
        <v>6.0025714285714304</v>
      </c>
      <c r="I40" s="307">
        <f>(H40+G40)/F40</f>
        <v>31.060228969636643</v>
      </c>
      <c r="J40" s="334">
        <f t="shared" si="4"/>
        <v>16.629200000000001</v>
      </c>
      <c r="K40" s="334">
        <f t="shared" si="4"/>
        <v>179.37246700000003</v>
      </c>
      <c r="L40" s="334">
        <f t="shared" si="4"/>
        <v>5.7176111111111121</v>
      </c>
      <c r="M40" s="334">
        <f>(L40+K40)/J40</f>
        <v>11.130425884054022</v>
      </c>
      <c r="N40" s="334">
        <f t="shared" si="4"/>
        <v>0.82147000000000003</v>
      </c>
      <c r="O40" s="334">
        <f t="shared" si="4"/>
        <v>3.96</v>
      </c>
      <c r="P40" s="334">
        <f t="shared" si="4"/>
        <v>17.843817142857141</v>
      </c>
      <c r="Q40" s="334"/>
      <c r="R40" s="334">
        <f t="shared" si="4"/>
        <v>11.66865</v>
      </c>
      <c r="S40" s="334">
        <f t="shared" si="4"/>
        <v>50.697999999999993</v>
      </c>
      <c r="T40" s="334">
        <f t="shared" si="4"/>
        <v>92.889737499999995</v>
      </c>
      <c r="U40" s="334"/>
      <c r="V40" s="334">
        <f t="shared" si="4"/>
        <v>12.251099999999999</v>
      </c>
      <c r="W40" s="334">
        <f t="shared" si="4"/>
        <v>65.23</v>
      </c>
      <c r="X40" s="334">
        <f t="shared" si="4"/>
        <v>1.7</v>
      </c>
      <c r="Y40" s="334"/>
      <c r="Z40" s="334">
        <f t="shared" si="4"/>
        <v>55.890779999999999</v>
      </c>
      <c r="AA40" s="334">
        <f t="shared" si="4"/>
        <v>511.31137999999999</v>
      </c>
      <c r="AB40" s="334">
        <f t="shared" si="4"/>
        <v>4.25</v>
      </c>
      <c r="AC40" s="334"/>
      <c r="AD40" s="334">
        <f t="shared" si="4"/>
        <v>0.42963999999999997</v>
      </c>
      <c r="AE40" s="334">
        <f t="shared" si="4"/>
        <v>2.476</v>
      </c>
      <c r="AF40" s="334">
        <f t="shared" si="4"/>
        <v>5.4818153846153841</v>
      </c>
      <c r="AG40" s="334"/>
      <c r="AH40" s="334">
        <f t="shared" si="4"/>
        <v>30.874269999999999</v>
      </c>
      <c r="AI40" s="334">
        <f t="shared" si="4"/>
        <v>96.092699999999994</v>
      </c>
      <c r="AJ40" s="334">
        <f t="shared" si="4"/>
        <v>166.46715384615385</v>
      </c>
      <c r="AK40" s="334"/>
      <c r="AL40" s="334">
        <f t="shared" si="4"/>
        <v>7.7674500000000002</v>
      </c>
      <c r="AM40" s="334">
        <f t="shared" si="4"/>
        <v>40.216999999999999</v>
      </c>
      <c r="AN40" s="334">
        <f t="shared" si="4"/>
        <v>13.901838888888888</v>
      </c>
      <c r="AO40" s="334"/>
      <c r="AP40" s="334">
        <f t="shared" si="4"/>
        <v>1.7999999999999999E-2</v>
      </c>
      <c r="AQ40" s="334">
        <f t="shared" si="4"/>
        <v>0</v>
      </c>
      <c r="AR40" s="334">
        <f t="shared" si="4"/>
        <v>0.25055555555555559</v>
      </c>
      <c r="AS40" s="334"/>
      <c r="AT40" s="334">
        <f t="shared" si="4"/>
        <v>118.32481000000001</v>
      </c>
      <c r="AU40" s="334">
        <f t="shared" si="4"/>
        <v>804.14395000000002</v>
      </c>
      <c r="AV40" s="334">
        <f t="shared" si="4"/>
        <v>225.45219444444447</v>
      </c>
      <c r="AW40" s="334"/>
      <c r="AX40" s="334">
        <f t="shared" si="4"/>
        <v>255.02202999999997</v>
      </c>
      <c r="AY40" s="334">
        <f t="shared" si="4"/>
        <v>1754.4914969999998</v>
      </c>
      <c r="AZ40" s="334">
        <f t="shared" si="4"/>
        <v>542.53451752442004</v>
      </c>
      <c r="BA40">
        <f t="shared" si="3"/>
        <v>9.0071670064128178</v>
      </c>
    </row>
    <row r="41" spans="1:53" x14ac:dyDescent="0.3">
      <c r="A41" s="335" t="s">
        <v>66</v>
      </c>
      <c r="B41" s="336"/>
      <c r="C41" s="336"/>
      <c r="D41" s="336"/>
      <c r="E41" s="336"/>
      <c r="F41" s="336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74">
        <f>(P40+O40)/N40</f>
        <v>26.542438729177135</v>
      </c>
      <c r="R41" s="336"/>
      <c r="S41" s="336"/>
      <c r="T41" s="336"/>
      <c r="U41" s="374">
        <f t="shared" ref="U41:AS41" si="5">(T40+S40)/R40</f>
        <v>12.305428434309025</v>
      </c>
      <c r="V41" s="336"/>
      <c r="W41" s="336"/>
      <c r="X41" s="336"/>
      <c r="Y41" s="336">
        <f t="shared" si="5"/>
        <v>5.4631828978622341</v>
      </c>
      <c r="Z41" s="336"/>
      <c r="AA41" s="336"/>
      <c r="AB41" s="336"/>
      <c r="AC41" s="336">
        <f t="shared" si="5"/>
        <v>9.2244441748710617</v>
      </c>
      <c r="AD41" s="336"/>
      <c r="AE41" s="336">
        <f t="shared" si="5"/>
        <v>0.10109176470588234</v>
      </c>
      <c r="AF41" s="336"/>
      <c r="AG41" s="336">
        <f t="shared" si="5"/>
        <v>18.522054242192031</v>
      </c>
      <c r="AH41" s="336"/>
      <c r="AI41" s="336">
        <f t="shared" si="5"/>
        <v>5.632125096122004</v>
      </c>
      <c r="AJ41" s="336"/>
      <c r="AK41" s="336">
        <f t="shared" si="5"/>
        <v>8.5041639477193733</v>
      </c>
      <c r="AL41" s="336"/>
      <c r="AM41" s="336"/>
      <c r="AN41" s="336"/>
      <c r="AO41" s="336">
        <f t="shared" si="5"/>
        <v>6.9673881246598155</v>
      </c>
      <c r="AP41" s="336"/>
      <c r="AQ41" s="336"/>
      <c r="AR41" s="336"/>
      <c r="AS41" s="336">
        <f t="shared" si="5"/>
        <v>13.919753086419757</v>
      </c>
      <c r="AT41" s="336"/>
      <c r="AU41" s="336"/>
      <c r="AV41" s="336"/>
      <c r="AW41" s="336"/>
      <c r="AX41" s="336"/>
      <c r="AY41" s="336"/>
      <c r="AZ41" s="336"/>
      <c r="BA41" s="336"/>
    </row>
    <row r="42" spans="1:53" x14ac:dyDescent="0.3">
      <c r="A42" s="335" t="s">
        <v>67</v>
      </c>
      <c r="B42" s="336"/>
      <c r="C42" s="336"/>
      <c r="D42" s="336"/>
      <c r="E42" s="336"/>
      <c r="F42" s="336"/>
      <c r="G42" s="336"/>
      <c r="H42" s="336"/>
      <c r="I42" s="336"/>
      <c r="J42" s="336"/>
      <c r="K42" s="336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  <c r="AA42" s="336"/>
      <c r="AB42" s="336"/>
      <c r="AC42" s="336"/>
      <c r="AD42" s="336"/>
      <c r="AE42" s="336"/>
      <c r="AF42" s="336"/>
      <c r="AG42" s="336"/>
      <c r="AH42" s="336"/>
      <c r="AI42" s="336"/>
      <c r="AJ42" s="336"/>
      <c r="AK42" s="336"/>
      <c r="AL42" s="336"/>
      <c r="AM42" s="336"/>
      <c r="AN42" s="336"/>
      <c r="AO42" s="336"/>
      <c r="AP42" s="336"/>
      <c r="AQ42" s="336"/>
      <c r="AR42" s="336"/>
      <c r="AS42" s="336"/>
      <c r="AT42" s="336"/>
      <c r="AU42" s="336"/>
      <c r="AV42" s="336"/>
      <c r="AW42" s="336"/>
      <c r="AX42" s="336"/>
      <c r="AY42" s="336"/>
      <c r="AZ42" s="336"/>
    </row>
  </sheetData>
  <mergeCells count="14">
    <mergeCell ref="AX1:AZ1"/>
    <mergeCell ref="AY2:AZ2"/>
    <mergeCell ref="Z1:AB1"/>
    <mergeCell ref="AD1:AF1"/>
    <mergeCell ref="AH1:AJ1"/>
    <mergeCell ref="AL1:AN1"/>
    <mergeCell ref="AP1:AR1"/>
    <mergeCell ref="AT1:AV1"/>
    <mergeCell ref="V1:X1"/>
    <mergeCell ref="B1:D1"/>
    <mergeCell ref="F1:H1"/>
    <mergeCell ref="J1:L1"/>
    <mergeCell ref="N1:P1"/>
    <mergeCell ref="R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61A9-B488-4346-8B09-2E02700E4F37}">
  <dimension ref="A1:BA41"/>
  <sheetViews>
    <sheetView topLeftCell="H23" workbookViewId="0">
      <selection activeCell="U39" sqref="U39"/>
    </sheetView>
  </sheetViews>
  <sheetFormatPr defaultRowHeight="14.4" x14ac:dyDescent="0.3"/>
  <cols>
    <col min="1" max="1" width="28.88671875" bestFit="1" customWidth="1"/>
  </cols>
  <sheetData>
    <row r="1" spans="1:53" x14ac:dyDescent="0.3">
      <c r="A1" s="36"/>
      <c r="B1" s="37" t="s">
        <v>68</v>
      </c>
      <c r="C1" s="391" t="s">
        <v>69</v>
      </c>
      <c r="D1" s="392"/>
      <c r="E1" s="38"/>
      <c r="F1" s="37" t="s">
        <v>68</v>
      </c>
      <c r="G1" s="391" t="s">
        <v>69</v>
      </c>
      <c r="H1" s="392"/>
      <c r="I1" s="38"/>
      <c r="J1" s="37" t="s">
        <v>68</v>
      </c>
      <c r="K1" s="391" t="s">
        <v>69</v>
      </c>
      <c r="L1" s="392"/>
      <c r="M1" s="38"/>
      <c r="N1" s="37" t="s">
        <v>68</v>
      </c>
      <c r="O1" s="393" t="s">
        <v>69</v>
      </c>
      <c r="P1" s="394"/>
      <c r="Q1" s="315"/>
      <c r="R1" s="37" t="s">
        <v>68</v>
      </c>
      <c r="S1" s="391" t="s">
        <v>69</v>
      </c>
      <c r="T1" s="392"/>
      <c r="U1" s="38"/>
      <c r="V1" s="37" t="s">
        <v>68</v>
      </c>
      <c r="W1" s="391" t="s">
        <v>69</v>
      </c>
      <c r="X1" s="392"/>
      <c r="Y1" s="38"/>
      <c r="Z1" s="37" t="s">
        <v>68</v>
      </c>
      <c r="AA1" s="391" t="s">
        <v>69</v>
      </c>
      <c r="AB1" s="392"/>
      <c r="AC1" s="38"/>
      <c r="AD1" s="37" t="s">
        <v>68</v>
      </c>
      <c r="AE1" s="391" t="s">
        <v>69</v>
      </c>
      <c r="AF1" s="392"/>
      <c r="AG1" s="38"/>
      <c r="AH1" s="37" t="s">
        <v>68</v>
      </c>
      <c r="AI1" s="391" t="s">
        <v>69</v>
      </c>
      <c r="AJ1" s="392"/>
      <c r="AK1" s="38"/>
      <c r="AL1" s="37" t="s">
        <v>68</v>
      </c>
      <c r="AM1" s="391" t="s">
        <v>69</v>
      </c>
      <c r="AN1" s="392"/>
      <c r="AO1" s="38"/>
      <c r="AP1" s="37" t="s">
        <v>68</v>
      </c>
      <c r="AQ1" s="391" t="s">
        <v>69</v>
      </c>
      <c r="AR1" s="396"/>
      <c r="AS1" s="345"/>
      <c r="AT1" s="39" t="s">
        <v>68</v>
      </c>
      <c r="AU1" s="395" t="s">
        <v>69</v>
      </c>
      <c r="AV1" s="395"/>
      <c r="AW1" s="39"/>
      <c r="AX1" s="39" t="s">
        <v>68</v>
      </c>
      <c r="AY1" s="395" t="s">
        <v>69</v>
      </c>
      <c r="AZ1" s="395"/>
    </row>
    <row r="2" spans="1:53" x14ac:dyDescent="0.3">
      <c r="A2" s="40"/>
      <c r="B2" s="37"/>
      <c r="C2" s="37" t="s">
        <v>70</v>
      </c>
      <c r="D2" s="37" t="s">
        <v>71</v>
      </c>
      <c r="E2" s="37"/>
      <c r="F2" s="37"/>
      <c r="G2" s="37" t="s">
        <v>70</v>
      </c>
      <c r="H2" s="37" t="s">
        <v>71</v>
      </c>
      <c r="I2" s="37"/>
      <c r="J2" s="37"/>
      <c r="K2" s="37" t="s">
        <v>70</v>
      </c>
      <c r="L2" s="37" t="s">
        <v>71</v>
      </c>
      <c r="M2" s="37"/>
      <c r="N2" s="37"/>
      <c r="O2" s="37" t="s">
        <v>70</v>
      </c>
      <c r="P2" s="41"/>
      <c r="Q2" s="342"/>
      <c r="R2" s="38"/>
      <c r="S2" s="37" t="s">
        <v>70</v>
      </c>
      <c r="T2" s="37" t="s">
        <v>71</v>
      </c>
      <c r="U2" s="37"/>
      <c r="V2" s="37"/>
      <c r="W2" s="37" t="s">
        <v>70</v>
      </c>
      <c r="X2" s="37" t="s">
        <v>71</v>
      </c>
      <c r="Y2" s="37"/>
      <c r="Z2" s="37"/>
      <c r="AA2" s="37" t="s">
        <v>70</v>
      </c>
      <c r="AB2" s="37" t="s">
        <v>71</v>
      </c>
      <c r="AC2" s="37"/>
      <c r="AD2" s="37"/>
      <c r="AE2" s="37" t="s">
        <v>70</v>
      </c>
      <c r="AF2" s="37" t="s">
        <v>71</v>
      </c>
      <c r="AG2" s="37"/>
      <c r="AH2" s="37"/>
      <c r="AI2" s="37" t="s">
        <v>70</v>
      </c>
      <c r="AJ2" s="37" t="s">
        <v>71</v>
      </c>
      <c r="AK2" s="37"/>
      <c r="AL2" s="37"/>
      <c r="AM2" s="37" t="s">
        <v>70</v>
      </c>
      <c r="AN2" s="37" t="s">
        <v>71</v>
      </c>
      <c r="AO2" s="37"/>
      <c r="AP2" s="37"/>
      <c r="AQ2" s="37" t="s">
        <v>70</v>
      </c>
      <c r="AR2" s="37" t="s">
        <v>71</v>
      </c>
      <c r="AS2" s="345"/>
      <c r="AT2" s="39"/>
      <c r="AU2" s="37" t="s">
        <v>70</v>
      </c>
      <c r="AV2" s="37" t="s">
        <v>71</v>
      </c>
      <c r="AW2" s="345"/>
      <c r="AX2" s="39"/>
      <c r="AY2" s="39" t="s">
        <v>70</v>
      </c>
      <c r="AZ2" s="39" t="s">
        <v>71</v>
      </c>
    </row>
    <row r="3" spans="1:53" x14ac:dyDescent="0.3">
      <c r="A3" s="42" t="s">
        <v>19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4"/>
      <c r="P3" s="45"/>
      <c r="Q3" s="343"/>
      <c r="R3" s="46"/>
      <c r="S3" s="47"/>
      <c r="T3" s="43"/>
      <c r="U3" s="43"/>
      <c r="V3" s="43">
        <v>1.0999999999999999E-2</v>
      </c>
      <c r="W3" s="43">
        <v>1.4E-2</v>
      </c>
      <c r="X3" s="43"/>
      <c r="Y3" s="43"/>
      <c r="Z3" s="43">
        <v>3.5999999999999997E-2</v>
      </c>
      <c r="AA3" s="43">
        <v>5.2999999999999999E-2</v>
      </c>
      <c r="AB3" s="43"/>
      <c r="AC3" s="43"/>
      <c r="AD3" s="43"/>
      <c r="AE3" s="43"/>
      <c r="AF3" s="43"/>
      <c r="AG3" s="43"/>
      <c r="AH3" s="43">
        <v>1.2E-2</v>
      </c>
      <c r="AI3" s="43">
        <v>0.01</v>
      </c>
      <c r="AJ3" s="43"/>
      <c r="AK3" s="43"/>
      <c r="AL3" s="43"/>
      <c r="AM3" s="43"/>
      <c r="AN3" s="43"/>
      <c r="AO3" s="43"/>
      <c r="AP3" s="43"/>
      <c r="AQ3" s="43"/>
      <c r="AR3" s="44"/>
      <c r="AS3" s="346"/>
      <c r="AT3" s="48">
        <v>0.125</v>
      </c>
      <c r="AU3" s="48">
        <v>0.112</v>
      </c>
      <c r="AV3" s="48"/>
      <c r="AW3" s="48"/>
      <c r="AX3" s="49">
        <f t="shared" ref="AX3:AX24" si="0">B3+F3+J3+N3+R3+V3+Z3+AD3+AH3+AL3+AP3+AT3</f>
        <v>0.184</v>
      </c>
      <c r="AY3" s="49">
        <f t="shared" ref="AY3:AY24" si="1">C3+G3+K3+O3+S3+W3+AA3+AE3+AI3+AM3+AQ3+AU3</f>
        <v>0.189</v>
      </c>
      <c r="AZ3" s="49">
        <f t="shared" ref="AZ3:AZ24" si="2">D3+H3+L3+P3+T3+X3+AB3+AF3+AJ3+AN3+AR3+AV3</f>
        <v>0</v>
      </c>
      <c r="BA3">
        <f>(AZ3+AY3)/AX3</f>
        <v>1.0271739130434783</v>
      </c>
    </row>
    <row r="4" spans="1:53" x14ac:dyDescent="0.3">
      <c r="A4" s="42" t="s">
        <v>20</v>
      </c>
      <c r="B4" s="43"/>
      <c r="C4" s="43"/>
      <c r="D4" s="43"/>
      <c r="E4" s="43"/>
      <c r="F4" s="43"/>
      <c r="G4" s="43"/>
      <c r="H4" s="43"/>
      <c r="I4" s="43"/>
      <c r="J4" s="43">
        <v>2.2240000000000002</v>
      </c>
      <c r="K4" s="43">
        <v>20.263000000000002</v>
      </c>
      <c r="L4" s="43"/>
      <c r="M4" s="43"/>
      <c r="N4" s="43"/>
      <c r="O4" s="44"/>
      <c r="P4" s="45"/>
      <c r="Q4" s="343"/>
      <c r="R4" s="46"/>
      <c r="S4" s="47"/>
      <c r="T4" s="43"/>
      <c r="U4" s="43"/>
      <c r="V4" s="43">
        <v>2.4590000000000001</v>
      </c>
      <c r="W4" s="43">
        <v>13.218999999999999</v>
      </c>
      <c r="X4" s="43"/>
      <c r="Y4" s="43"/>
      <c r="Z4" s="43">
        <v>5.05</v>
      </c>
      <c r="AA4" s="43">
        <v>39.473999999999997</v>
      </c>
      <c r="AB4" s="43"/>
      <c r="AC4" s="43"/>
      <c r="AD4" s="43"/>
      <c r="AE4" s="43"/>
      <c r="AF4" s="43"/>
      <c r="AG4" s="43"/>
      <c r="AH4" s="43">
        <v>0.51600000000000001</v>
      </c>
      <c r="AI4" s="43"/>
      <c r="AJ4" s="43">
        <f>21.2076923076923/130</f>
        <v>0.16313609467455617</v>
      </c>
      <c r="AK4" s="43"/>
      <c r="AL4" s="43">
        <v>1.034</v>
      </c>
      <c r="AM4" s="43">
        <v>11.18</v>
      </c>
      <c r="AN4" s="43"/>
      <c r="AO4" s="43"/>
      <c r="AP4" s="43"/>
      <c r="AQ4" s="43"/>
      <c r="AR4" s="43"/>
      <c r="AS4" s="50"/>
      <c r="AT4" s="50">
        <v>3.1040000000000001</v>
      </c>
      <c r="AU4" s="50">
        <v>19.183</v>
      </c>
      <c r="AV4" s="51"/>
      <c r="AW4" s="51"/>
      <c r="AX4" s="49">
        <f t="shared" si="0"/>
        <v>14.387</v>
      </c>
      <c r="AY4" s="49">
        <f t="shared" si="1"/>
        <v>103.31899999999999</v>
      </c>
      <c r="AZ4" s="49">
        <f t="shared" si="2"/>
        <v>0.16313609467455617</v>
      </c>
      <c r="BA4">
        <f t="shared" ref="BA4:BA38" si="3">(AZ4+AY4)/AX4</f>
        <v>7.192752908505911</v>
      </c>
    </row>
    <row r="5" spans="1:53" ht="15.6" x14ac:dyDescent="0.3">
      <c r="A5" s="52" t="s">
        <v>64</v>
      </c>
      <c r="B5" s="53">
        <v>4.5999999999999999E-3</v>
      </c>
      <c r="C5" s="53"/>
      <c r="D5" s="53">
        <f>0.644444444444444/180</f>
        <v>3.5802469135802445E-3</v>
      </c>
      <c r="E5" s="53"/>
      <c r="F5" s="53"/>
      <c r="G5" s="53"/>
      <c r="H5" s="53"/>
      <c r="I5" s="53"/>
      <c r="J5" s="53"/>
      <c r="K5" s="53"/>
      <c r="L5" s="53"/>
      <c r="M5" s="53"/>
      <c r="N5" s="53">
        <v>4.0000000000000001E-3</v>
      </c>
      <c r="O5" s="53"/>
      <c r="P5" s="53">
        <f>0.502857142857143/175</f>
        <v>2.8734693877551028E-3</v>
      </c>
      <c r="Q5" s="53"/>
      <c r="R5" s="53"/>
      <c r="S5" s="53"/>
      <c r="T5" s="53"/>
      <c r="U5" s="53"/>
      <c r="V5" s="53"/>
      <c r="W5" s="53"/>
      <c r="X5" s="53"/>
      <c r="Y5" s="53"/>
      <c r="Z5" s="53">
        <v>0.01</v>
      </c>
      <c r="AA5" s="53">
        <v>9.7999999999999997E-3</v>
      </c>
      <c r="AB5" s="53"/>
      <c r="AC5" s="53"/>
      <c r="AD5" s="53"/>
      <c r="AE5" s="53"/>
      <c r="AF5" s="53"/>
      <c r="AG5" s="53"/>
      <c r="AH5" s="53">
        <v>4.4999999999999997E-3</v>
      </c>
      <c r="AI5" s="53"/>
      <c r="AJ5" s="53">
        <f>0.715384615384615/130</f>
        <v>5.5029585798816536E-3</v>
      </c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49">
        <f t="shared" si="0"/>
        <v>2.3099999999999999E-2</v>
      </c>
      <c r="AY5" s="49">
        <f t="shared" si="1"/>
        <v>9.7999999999999997E-3</v>
      </c>
      <c r="AZ5" s="49">
        <f t="shared" si="2"/>
        <v>1.1956674881217001E-2</v>
      </c>
      <c r="BA5">
        <f t="shared" si="3"/>
        <v>0.94184739745528134</v>
      </c>
    </row>
    <row r="6" spans="1:53" x14ac:dyDescent="0.3">
      <c r="A6" s="42" t="s">
        <v>22</v>
      </c>
      <c r="B6" s="43">
        <v>6.3E-2</v>
      </c>
      <c r="C6" s="43">
        <v>0.41599999999999998</v>
      </c>
      <c r="D6" s="43">
        <f>0.622222222222222/180</f>
        <v>3.456790123456789E-3</v>
      </c>
      <c r="E6" s="43"/>
      <c r="F6" s="43">
        <v>9.2999999999999999E-2</v>
      </c>
      <c r="G6" s="43">
        <v>0.61399999999999999</v>
      </c>
      <c r="H6" s="43">
        <f>0.728571428571429/210</f>
        <v>3.469387755102043E-3</v>
      </c>
      <c r="I6" s="43"/>
      <c r="J6" s="43">
        <v>0.123</v>
      </c>
      <c r="K6" s="43">
        <v>0.81200000000000006</v>
      </c>
      <c r="L6" s="43">
        <f>1.16111111111111/180</f>
        <v>6.4506172839506118E-3</v>
      </c>
      <c r="M6" s="43"/>
      <c r="N6" s="43">
        <v>0.60599999999999998</v>
      </c>
      <c r="O6" s="44">
        <v>4</v>
      </c>
      <c r="P6" s="45">
        <f>5.85714285714286/175</f>
        <v>3.346938775510206E-2</v>
      </c>
      <c r="Q6" s="343"/>
      <c r="R6" s="46">
        <v>0.21</v>
      </c>
      <c r="S6" s="47">
        <v>1.3859999999999999</v>
      </c>
      <c r="T6" s="43">
        <f>4.525/80</f>
        <v>5.6562500000000002E-2</v>
      </c>
      <c r="U6" s="43"/>
      <c r="V6" s="43">
        <v>0.183</v>
      </c>
      <c r="W6" s="43">
        <v>1.208</v>
      </c>
      <c r="X6" s="43">
        <f>1.72777777777778/180</f>
        <v>9.5987654320987791E-3</v>
      </c>
      <c r="Y6" s="43"/>
      <c r="Z6" s="43">
        <v>0.45300000000000001</v>
      </c>
      <c r="AA6" s="43">
        <v>2.99</v>
      </c>
      <c r="AB6" s="43">
        <f>4.27777777777778/180</f>
        <v>2.3765432098765447E-2</v>
      </c>
      <c r="AC6" s="43"/>
      <c r="AD6" s="43">
        <v>0.36299999999999999</v>
      </c>
      <c r="AE6" s="43">
        <v>2.496</v>
      </c>
      <c r="AF6" s="43">
        <f>4.74615384615385/130</f>
        <v>3.6508875739645001E-2</v>
      </c>
      <c r="AG6" s="43"/>
      <c r="AH6" s="43">
        <v>0.30599999999999999</v>
      </c>
      <c r="AI6" s="43">
        <v>2.02</v>
      </c>
      <c r="AJ6" s="43">
        <f>3.96153846153846/130</f>
        <v>3.0473372781065076E-2</v>
      </c>
      <c r="AK6" s="43"/>
      <c r="AL6" s="43">
        <v>0.5</v>
      </c>
      <c r="AM6" s="43">
        <v>2.6</v>
      </c>
      <c r="AN6" s="43">
        <f>0.0069/180</f>
        <v>3.8333333333333334E-5</v>
      </c>
      <c r="AO6" s="43"/>
      <c r="AP6" s="43"/>
      <c r="AQ6" s="43"/>
      <c r="AR6" s="43"/>
      <c r="AS6" s="43"/>
      <c r="AT6" s="43">
        <v>0.63</v>
      </c>
      <c r="AU6" s="43">
        <v>4.258</v>
      </c>
      <c r="AV6" s="48">
        <f>5.42222222222222/180</f>
        <v>3.0123456790123442E-2</v>
      </c>
      <c r="AW6" s="48"/>
      <c r="AX6" s="49">
        <f t="shared" si="0"/>
        <v>3.5300000000000002</v>
      </c>
      <c r="AY6" s="49">
        <f t="shared" si="1"/>
        <v>22.8</v>
      </c>
      <c r="AZ6" s="49">
        <f t="shared" si="2"/>
        <v>0.23391691909264259</v>
      </c>
      <c r="BA6">
        <f t="shared" si="3"/>
        <v>6.5251889289214287</v>
      </c>
    </row>
    <row r="7" spans="1:53" ht="15.6" x14ac:dyDescent="0.3">
      <c r="A7" s="54" t="s">
        <v>23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>
        <v>8.5000000000000006E-2</v>
      </c>
      <c r="S7" s="53"/>
      <c r="T7" s="53">
        <f>2.0665/80</f>
        <v>2.583125E-2</v>
      </c>
      <c r="U7" s="53"/>
      <c r="V7" s="53">
        <v>0.113</v>
      </c>
      <c r="W7" s="53">
        <v>0.317</v>
      </c>
      <c r="X7" s="53"/>
      <c r="Y7" s="53"/>
      <c r="Z7" s="53">
        <v>0.86499999999999999</v>
      </c>
      <c r="AA7" s="53">
        <v>11.576000000000001</v>
      </c>
      <c r="AB7" s="53"/>
      <c r="AC7" s="53"/>
      <c r="AD7" s="53"/>
      <c r="AE7" s="53"/>
      <c r="AF7" s="53"/>
      <c r="AG7" s="53"/>
      <c r="AH7" s="53">
        <v>0.1</v>
      </c>
      <c r="AI7" s="53">
        <v>0.112</v>
      </c>
      <c r="AJ7" s="53">
        <f>0.697038461538461/130</f>
        <v>5.3618343195266233E-3</v>
      </c>
      <c r="AK7" s="53"/>
      <c r="AL7" s="53">
        <v>0.13200000000000001</v>
      </c>
      <c r="AM7" s="53">
        <v>0.59599999999999997</v>
      </c>
      <c r="AN7" s="53"/>
      <c r="AO7" s="53"/>
      <c r="AP7" s="53"/>
      <c r="AQ7" s="53"/>
      <c r="AR7" s="53"/>
      <c r="AS7" s="53"/>
      <c r="AT7" s="53">
        <v>0.13200000000000001</v>
      </c>
      <c r="AU7" s="53">
        <v>1.08</v>
      </c>
      <c r="AV7" s="53"/>
      <c r="AW7" s="53"/>
      <c r="AX7" s="49">
        <f t="shared" si="0"/>
        <v>1.427</v>
      </c>
      <c r="AY7" s="49">
        <f t="shared" si="1"/>
        <v>13.681000000000001</v>
      </c>
      <c r="AZ7" s="49">
        <f t="shared" si="2"/>
        <v>3.1193084319526623E-2</v>
      </c>
      <c r="BA7">
        <f t="shared" si="3"/>
        <v>9.6091051747158573</v>
      </c>
    </row>
    <row r="8" spans="1:53" x14ac:dyDescent="0.3">
      <c r="A8" s="42" t="s">
        <v>57</v>
      </c>
      <c r="B8" s="43"/>
      <c r="C8" s="43"/>
      <c r="D8" s="43"/>
      <c r="E8" s="43"/>
      <c r="F8" s="43"/>
      <c r="G8" s="43"/>
      <c r="H8" s="43"/>
      <c r="I8" s="43"/>
      <c r="J8" s="43">
        <v>0.28399999999999997</v>
      </c>
      <c r="K8" s="43">
        <v>1.038</v>
      </c>
      <c r="L8" s="43"/>
      <c r="M8" s="43"/>
      <c r="N8" s="43"/>
      <c r="O8" s="44"/>
      <c r="P8" s="45"/>
      <c r="Q8" s="343"/>
      <c r="R8" s="46">
        <v>1.7909999999999999</v>
      </c>
      <c r="S8" s="47">
        <v>5.9939999999999998</v>
      </c>
      <c r="T8" s="43"/>
      <c r="U8" s="43"/>
      <c r="V8" s="43">
        <v>4.3999999999999997E-2</v>
      </c>
      <c r="W8" s="43">
        <v>8.7999999999999995E-2</v>
      </c>
      <c r="X8" s="43"/>
      <c r="Y8" s="43"/>
      <c r="Z8" s="43">
        <v>4.0069999999999997</v>
      </c>
      <c r="AA8" s="43">
        <v>29.27</v>
      </c>
      <c r="AB8" s="43"/>
      <c r="AC8" s="43"/>
      <c r="AD8" s="43"/>
      <c r="AE8" s="43"/>
      <c r="AF8" s="43"/>
      <c r="AG8" s="43"/>
      <c r="AH8" s="43">
        <v>1.05</v>
      </c>
      <c r="AI8" s="43">
        <v>2.9039999999999999</v>
      </c>
      <c r="AJ8" s="43"/>
      <c r="AK8" s="43"/>
      <c r="AL8" s="43">
        <v>1.498</v>
      </c>
      <c r="AM8" s="43">
        <v>5.9009999999999998</v>
      </c>
      <c r="AN8" s="43"/>
      <c r="AO8" s="43"/>
      <c r="AP8" s="43"/>
      <c r="AQ8" s="43"/>
      <c r="AR8" s="43"/>
      <c r="AS8" s="43"/>
      <c r="AT8" s="43">
        <v>2.2869999999999999</v>
      </c>
      <c r="AU8" s="43">
        <v>4.8339999999999996</v>
      </c>
      <c r="AV8" s="48"/>
      <c r="AW8" s="48"/>
      <c r="AX8" s="49">
        <f t="shared" si="0"/>
        <v>10.960999999999999</v>
      </c>
      <c r="AY8" s="49">
        <f t="shared" si="1"/>
        <v>50.028999999999996</v>
      </c>
      <c r="AZ8" s="49">
        <f t="shared" si="2"/>
        <v>0</v>
      </c>
      <c r="BA8">
        <f t="shared" si="3"/>
        <v>4.5642733327251168</v>
      </c>
    </row>
    <row r="9" spans="1:53" x14ac:dyDescent="0.3">
      <c r="A9" s="42" t="s">
        <v>25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4"/>
      <c r="P9" s="45"/>
      <c r="Q9" s="343"/>
      <c r="R9" s="46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8"/>
      <c r="AW9" s="48"/>
      <c r="AX9" s="49">
        <f t="shared" si="0"/>
        <v>0</v>
      </c>
      <c r="AY9" s="49">
        <f t="shared" si="1"/>
        <v>0</v>
      </c>
      <c r="AZ9" s="49">
        <f t="shared" si="2"/>
        <v>0</v>
      </c>
      <c r="BA9" t="e">
        <f t="shared" si="3"/>
        <v>#DIV/0!</v>
      </c>
    </row>
    <row r="10" spans="1:53" x14ac:dyDescent="0.3">
      <c r="A10" s="42" t="s">
        <v>26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4"/>
      <c r="P10" s="45"/>
      <c r="Q10" s="343"/>
      <c r="R10" s="46"/>
      <c r="S10" s="47"/>
      <c r="T10" s="43"/>
      <c r="U10" s="43"/>
      <c r="V10" s="43"/>
      <c r="W10" s="43"/>
      <c r="X10" s="43"/>
      <c r="Y10" s="43"/>
      <c r="Z10" s="43">
        <v>2E-3</v>
      </c>
      <c r="AA10" s="43">
        <v>1.6E-2</v>
      </c>
      <c r="AB10" s="43"/>
      <c r="AC10" s="43"/>
      <c r="AD10" s="43"/>
      <c r="AE10" s="43"/>
      <c r="AF10" s="43"/>
      <c r="AG10" s="43"/>
      <c r="AH10" s="43">
        <v>2E-3</v>
      </c>
      <c r="AI10" s="43">
        <v>1.4E-2</v>
      </c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8"/>
      <c r="AW10" s="48"/>
      <c r="AX10" s="49">
        <f t="shared" si="0"/>
        <v>4.0000000000000001E-3</v>
      </c>
      <c r="AY10" s="49">
        <f t="shared" si="1"/>
        <v>0.03</v>
      </c>
      <c r="AZ10" s="49">
        <f t="shared" si="2"/>
        <v>0</v>
      </c>
      <c r="BA10">
        <f t="shared" si="3"/>
        <v>7.5</v>
      </c>
    </row>
    <row r="11" spans="1:53" x14ac:dyDescent="0.3">
      <c r="A11" s="42" t="s">
        <v>27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4"/>
      <c r="P11" s="45"/>
      <c r="Q11" s="343"/>
      <c r="R11" s="46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8"/>
      <c r="AW11" s="48"/>
      <c r="AX11" s="49">
        <f t="shared" si="0"/>
        <v>0</v>
      </c>
      <c r="AY11" s="49">
        <f t="shared" si="1"/>
        <v>0</v>
      </c>
      <c r="AZ11" s="49">
        <f t="shared" si="2"/>
        <v>0</v>
      </c>
      <c r="BA11" t="e">
        <f t="shared" si="3"/>
        <v>#DIV/0!</v>
      </c>
    </row>
    <row r="12" spans="1:53" x14ac:dyDescent="0.3">
      <c r="A12" s="42" t="s">
        <v>28</v>
      </c>
      <c r="B12" s="43">
        <v>3.0000000000000001E-3</v>
      </c>
      <c r="C12" s="43"/>
      <c r="D12" s="43">
        <f>0.00555555555555556/180</f>
        <v>3.0864197530864225E-5</v>
      </c>
      <c r="E12" s="43"/>
      <c r="F12" s="43"/>
      <c r="G12" s="43"/>
      <c r="H12" s="43"/>
      <c r="I12" s="43"/>
      <c r="J12" s="43"/>
      <c r="K12" s="43"/>
      <c r="L12" s="43"/>
      <c r="M12" s="43"/>
      <c r="N12" s="43">
        <v>1E-3</v>
      </c>
      <c r="O12" s="44"/>
      <c r="P12" s="45">
        <f>0.114285714285714/175</f>
        <v>6.5306122448979429E-4</v>
      </c>
      <c r="Q12" s="343"/>
      <c r="R12" s="46"/>
      <c r="S12" s="47"/>
      <c r="T12" s="43"/>
      <c r="U12" s="43"/>
      <c r="V12" s="43"/>
      <c r="W12" s="43">
        <v>6.0000000000000001E-3</v>
      </c>
      <c r="X12" s="43"/>
      <c r="Y12" s="43"/>
      <c r="Z12" s="43">
        <v>4.0000000000000001E-3</v>
      </c>
      <c r="AA12" s="43">
        <v>2.1999999999999999E-2</v>
      </c>
      <c r="AB12" s="43"/>
      <c r="AC12" s="43"/>
      <c r="AD12" s="43">
        <v>1E-3</v>
      </c>
      <c r="AE12" s="43"/>
      <c r="AF12" s="43"/>
      <c r="AG12" s="43"/>
      <c r="AH12" s="43"/>
      <c r="AI12" s="43"/>
      <c r="AJ12" s="43"/>
      <c r="AK12" s="43"/>
      <c r="AL12" s="43"/>
      <c r="AM12" s="43">
        <v>2E-3</v>
      </c>
      <c r="AN12" s="43"/>
      <c r="AO12" s="43"/>
      <c r="AP12" s="43"/>
      <c r="AQ12" s="43"/>
      <c r="AR12" s="43"/>
      <c r="AS12" s="43"/>
      <c r="AT12" s="43">
        <v>3.0000000000000001E-3</v>
      </c>
      <c r="AU12" s="43">
        <v>3.0000000000000001E-3</v>
      </c>
      <c r="AV12" s="48"/>
      <c r="AW12" s="48"/>
      <c r="AX12" s="49">
        <f t="shared" si="0"/>
        <v>1.2E-2</v>
      </c>
      <c r="AY12" s="49">
        <f t="shared" si="1"/>
        <v>3.3000000000000002E-2</v>
      </c>
      <c r="AZ12" s="49">
        <f t="shared" si="2"/>
        <v>6.8392542202065849E-4</v>
      </c>
      <c r="BA12">
        <f t="shared" si="3"/>
        <v>2.8069937851683879</v>
      </c>
    </row>
    <row r="13" spans="1:53" x14ac:dyDescent="0.3">
      <c r="A13" s="42" t="s">
        <v>29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4"/>
      <c r="P13" s="45"/>
      <c r="Q13" s="343"/>
      <c r="R13" s="46"/>
      <c r="S13" s="47"/>
      <c r="T13" s="43"/>
      <c r="U13" s="43"/>
      <c r="V13" s="43"/>
      <c r="W13" s="43"/>
      <c r="X13" s="43"/>
      <c r="Y13" s="43"/>
      <c r="Z13" s="43">
        <v>7.22</v>
      </c>
      <c r="AA13" s="43">
        <v>68.930000000000007</v>
      </c>
      <c r="AB13" s="43"/>
      <c r="AC13" s="43"/>
      <c r="AD13" s="43"/>
      <c r="AE13" s="43"/>
      <c r="AF13" s="43"/>
      <c r="AG13" s="43"/>
      <c r="AH13" s="43">
        <v>4.12</v>
      </c>
      <c r="AI13" s="43">
        <v>37.36</v>
      </c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>
        <v>5.96</v>
      </c>
      <c r="AU13" s="43">
        <v>57.31</v>
      </c>
      <c r="AV13" s="48"/>
      <c r="AW13" s="48"/>
      <c r="AX13" s="49">
        <f t="shared" si="0"/>
        <v>17.3</v>
      </c>
      <c r="AY13" s="49">
        <f t="shared" si="1"/>
        <v>163.60000000000002</v>
      </c>
      <c r="AZ13" s="49">
        <f t="shared" si="2"/>
        <v>0</v>
      </c>
      <c r="BA13">
        <f t="shared" si="3"/>
        <v>9.4566473988439324</v>
      </c>
    </row>
    <row r="14" spans="1:53" x14ac:dyDescent="0.3">
      <c r="A14" s="42" t="s">
        <v>30</v>
      </c>
      <c r="B14" s="43"/>
      <c r="C14" s="43"/>
      <c r="D14" s="43"/>
      <c r="E14" s="43"/>
      <c r="F14" s="43"/>
      <c r="G14" s="43"/>
      <c r="H14" s="43"/>
      <c r="I14" s="43"/>
      <c r="J14" s="43">
        <v>0.03</v>
      </c>
      <c r="K14" s="43">
        <v>0.04</v>
      </c>
      <c r="L14" s="43">
        <f>0.133333333333333/180</f>
        <v>7.4074074074073886E-4</v>
      </c>
      <c r="M14" s="43"/>
      <c r="N14" s="43">
        <v>0.02</v>
      </c>
      <c r="O14" s="44"/>
      <c r="P14" s="45">
        <f>0.137142857142857/175</f>
        <v>7.8367346938775439E-4</v>
      </c>
      <c r="Q14" s="343"/>
      <c r="R14" s="46">
        <v>0.21</v>
      </c>
      <c r="S14" s="47"/>
      <c r="T14" s="43">
        <f>2.4/80</f>
        <v>0.03</v>
      </c>
      <c r="U14" s="43"/>
      <c r="V14" s="43"/>
      <c r="W14" s="43"/>
      <c r="X14" s="43"/>
      <c r="Y14" s="43"/>
      <c r="Z14" s="43">
        <v>5.38</v>
      </c>
      <c r="AA14" s="43">
        <v>62.34</v>
      </c>
      <c r="AB14" s="43"/>
      <c r="AC14" s="43"/>
      <c r="AD14" s="43"/>
      <c r="AE14" s="43"/>
      <c r="AF14" s="43"/>
      <c r="AG14" s="43"/>
      <c r="AH14" s="43">
        <v>0.24</v>
      </c>
      <c r="AI14" s="43">
        <v>0.46</v>
      </c>
      <c r="AJ14" s="43">
        <f>1.67692307692308/130</f>
        <v>1.2899408284023693E-2</v>
      </c>
      <c r="AK14" s="43"/>
      <c r="AL14" s="43">
        <v>0.09</v>
      </c>
      <c r="AM14" s="43"/>
      <c r="AN14" s="43"/>
      <c r="AO14" s="43"/>
      <c r="AP14" s="43"/>
      <c r="AQ14" s="43"/>
      <c r="AR14" s="43"/>
      <c r="AS14" s="43"/>
      <c r="AT14" s="43">
        <v>0.1</v>
      </c>
      <c r="AU14" s="43">
        <v>0.01</v>
      </c>
      <c r="AV14" s="48">
        <f>0.572222222222222/180</f>
        <v>3.1790123456790107E-3</v>
      </c>
      <c r="AW14" s="48"/>
      <c r="AX14" s="49">
        <f t="shared" si="0"/>
        <v>6.0699999999999994</v>
      </c>
      <c r="AY14" s="49">
        <f t="shared" si="1"/>
        <v>62.85</v>
      </c>
      <c r="AZ14" s="49">
        <f t="shared" si="2"/>
        <v>4.7602834839831194E-2</v>
      </c>
      <c r="BA14">
        <f t="shared" si="3"/>
        <v>10.362043300632592</v>
      </c>
    </row>
    <row r="15" spans="1:53" x14ac:dyDescent="0.3">
      <c r="A15" s="42" t="s">
        <v>31</v>
      </c>
      <c r="B15" s="43"/>
      <c r="C15" s="43"/>
      <c r="D15" s="43"/>
      <c r="E15" s="43"/>
      <c r="F15" s="43">
        <v>5.1999999999999998E-2</v>
      </c>
      <c r="G15" s="43"/>
      <c r="H15" s="43">
        <f>2.39047619047619/210</f>
        <v>1.1383219954648523E-2</v>
      </c>
      <c r="I15" s="43"/>
      <c r="J15" s="43">
        <v>0.29499999999999998</v>
      </c>
      <c r="K15" s="43">
        <v>7.6</v>
      </c>
      <c r="L15" s="43">
        <f>4.65/180</f>
        <v>2.5833333333333337E-2</v>
      </c>
      <c r="M15" s="43"/>
      <c r="N15" s="43">
        <v>6.0000000000000001E-3</v>
      </c>
      <c r="O15" s="44"/>
      <c r="P15" s="45">
        <f>0.434285714285714/175</f>
        <v>2.4816326530612228E-3</v>
      </c>
      <c r="Q15" s="343"/>
      <c r="R15" s="46">
        <v>8.3000000000000004E-2</v>
      </c>
      <c r="S15" s="47"/>
      <c r="T15" s="43">
        <f>1.9625/80</f>
        <v>2.4531249999999998E-2</v>
      </c>
      <c r="U15" s="43"/>
      <c r="V15" s="43"/>
      <c r="W15" s="43"/>
      <c r="X15" s="43"/>
      <c r="Y15" s="43"/>
      <c r="Z15" s="43">
        <v>0.223</v>
      </c>
      <c r="AA15" s="43">
        <v>19.605</v>
      </c>
      <c r="AB15" s="43"/>
      <c r="AC15" s="43"/>
      <c r="AD15" s="43"/>
      <c r="AE15" s="43"/>
      <c r="AF15" s="43"/>
      <c r="AG15" s="43"/>
      <c r="AH15" s="43">
        <v>3.5999999999999997E-2</v>
      </c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>
        <v>0.107</v>
      </c>
      <c r="AU15" s="43"/>
      <c r="AV15" s="48">
        <f>2.11666666666667/180</f>
        <v>1.1759259259259277E-2</v>
      </c>
      <c r="AW15" s="48"/>
      <c r="AX15" s="49">
        <f t="shared" si="0"/>
        <v>0.80200000000000005</v>
      </c>
      <c r="AY15" s="49">
        <f t="shared" si="1"/>
        <v>27.204999999999998</v>
      </c>
      <c r="AZ15" s="49">
        <f t="shared" si="2"/>
        <v>7.5988695200302353E-2</v>
      </c>
      <c r="BA15">
        <f t="shared" si="3"/>
        <v>34.016195380549</v>
      </c>
    </row>
    <row r="16" spans="1:53" x14ac:dyDescent="0.3">
      <c r="A16" s="42" t="s">
        <v>32</v>
      </c>
      <c r="B16" s="43"/>
      <c r="C16" s="43"/>
      <c r="D16" s="43"/>
      <c r="E16" s="43"/>
      <c r="F16" s="43">
        <v>4.0000000000000001E-3</v>
      </c>
      <c r="G16" s="43"/>
      <c r="H16" s="43"/>
      <c r="I16" s="43"/>
      <c r="J16" s="43">
        <v>4.0000000000000001E-3</v>
      </c>
      <c r="K16" s="43">
        <v>1E-3</v>
      </c>
      <c r="L16" s="43"/>
      <c r="M16" s="43"/>
      <c r="N16" s="43">
        <v>3.0000000000000001E-3</v>
      </c>
      <c r="O16" s="44"/>
      <c r="P16" s="45"/>
      <c r="Q16" s="343"/>
      <c r="R16" s="46">
        <v>3.4000000000000002E-2</v>
      </c>
      <c r="S16" s="47"/>
      <c r="T16" s="43"/>
      <c r="U16" s="43"/>
      <c r="V16" s="43"/>
      <c r="W16" s="43"/>
      <c r="X16" s="43"/>
      <c r="Y16" s="43"/>
      <c r="Z16" s="43">
        <v>0.33100000000000002</v>
      </c>
      <c r="AA16" s="43">
        <v>0.26300000000000001</v>
      </c>
      <c r="AB16" s="43"/>
      <c r="AC16" s="43"/>
      <c r="AD16" s="43"/>
      <c r="AE16" s="43"/>
      <c r="AF16" s="43"/>
      <c r="AG16" s="43"/>
      <c r="AH16" s="43">
        <v>1.9E-2</v>
      </c>
      <c r="AI16" s="43">
        <v>1.4999999999999999E-2</v>
      </c>
      <c r="AJ16" s="43"/>
      <c r="AK16" s="43"/>
      <c r="AL16" s="43">
        <v>1E-3</v>
      </c>
      <c r="AM16" s="43"/>
      <c r="AN16" s="43"/>
      <c r="AO16" s="43"/>
      <c r="AP16" s="43">
        <v>1.7999999999999999E-2</v>
      </c>
      <c r="AQ16" s="43"/>
      <c r="AR16" s="43"/>
      <c r="AS16" s="43"/>
      <c r="AT16" s="43">
        <v>4.4999999999999998E-2</v>
      </c>
      <c r="AU16" s="43">
        <v>6.7000000000000004E-2</v>
      </c>
      <c r="AV16" s="48"/>
      <c r="AW16" s="48"/>
      <c r="AX16" s="49">
        <f t="shared" si="0"/>
        <v>0.45900000000000002</v>
      </c>
      <c r="AY16" s="49">
        <f t="shared" si="1"/>
        <v>0.34600000000000003</v>
      </c>
      <c r="AZ16" s="49">
        <f t="shared" si="2"/>
        <v>0</v>
      </c>
      <c r="BA16">
        <f t="shared" si="3"/>
        <v>0.75381263616557737</v>
      </c>
    </row>
    <row r="17" spans="1:53" x14ac:dyDescent="0.3">
      <c r="A17" s="42" t="s">
        <v>33</v>
      </c>
      <c r="B17" s="43"/>
      <c r="C17" s="43"/>
      <c r="D17" s="43">
        <v>0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4"/>
      <c r="P17" s="45">
        <v>0</v>
      </c>
      <c r="Q17" s="343"/>
      <c r="R17" s="46"/>
      <c r="S17" s="47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>
        <v>1.6</v>
      </c>
      <c r="AU17" s="43">
        <v>22.026</v>
      </c>
      <c r="AV17" s="48">
        <f>52.8111111111111/180</f>
        <v>0.29339506172839502</v>
      </c>
      <c r="AW17" s="48"/>
      <c r="AX17" s="49">
        <f t="shared" si="0"/>
        <v>1.6</v>
      </c>
      <c r="AY17" s="49">
        <f t="shared" si="1"/>
        <v>22.026</v>
      </c>
      <c r="AZ17" s="49">
        <f t="shared" si="2"/>
        <v>0.29339506172839502</v>
      </c>
      <c r="BA17">
        <f t="shared" si="3"/>
        <v>13.949621913580245</v>
      </c>
    </row>
    <row r="18" spans="1:53" x14ac:dyDescent="0.3">
      <c r="A18" s="42" t="s">
        <v>34</v>
      </c>
      <c r="B18" s="43"/>
      <c r="C18" s="43"/>
      <c r="D18" s="43">
        <f>0.0555555555555556/180</f>
        <v>3.0864197530864224E-4</v>
      </c>
      <c r="E18" s="43"/>
      <c r="F18" s="43"/>
      <c r="G18" s="43"/>
      <c r="H18" s="43">
        <f>0.380952380952381/210</f>
        <v>1.8140589569160999E-3</v>
      </c>
      <c r="I18" s="43"/>
      <c r="J18" s="43">
        <v>5.0999999999999996</v>
      </c>
      <c r="K18" s="43">
        <v>61.2</v>
      </c>
      <c r="L18" s="43"/>
      <c r="M18" s="43"/>
      <c r="N18" s="43"/>
      <c r="O18" s="44"/>
      <c r="P18" s="45">
        <f>2.02285714285714/175</f>
        <v>1.1559183673469371E-2</v>
      </c>
      <c r="Q18" s="343"/>
      <c r="R18" s="46">
        <v>0.2</v>
      </c>
      <c r="S18" s="47"/>
      <c r="T18" s="43">
        <f>5.3625/80</f>
        <v>6.7031250000000001E-2</v>
      </c>
      <c r="U18" s="43"/>
      <c r="V18" s="43">
        <v>6.3</v>
      </c>
      <c r="W18" s="43">
        <v>38.6</v>
      </c>
      <c r="X18" s="43"/>
      <c r="Y18" s="43"/>
      <c r="Z18" s="43">
        <v>9.4</v>
      </c>
      <c r="AA18" s="43">
        <v>77.2</v>
      </c>
      <c r="AB18" s="43"/>
      <c r="AC18" s="43"/>
      <c r="AD18" s="43"/>
      <c r="AE18" s="43"/>
      <c r="AF18" s="43"/>
      <c r="AG18" s="43"/>
      <c r="AH18" s="43">
        <v>3</v>
      </c>
      <c r="AI18" s="43"/>
      <c r="AJ18" s="43">
        <f>57.0230769230769/130</f>
        <v>0.43863905325443769</v>
      </c>
      <c r="AK18" s="43"/>
      <c r="AL18" s="43">
        <v>2.1</v>
      </c>
      <c r="AM18" s="43">
        <v>14.7</v>
      </c>
      <c r="AN18" s="43">
        <f>5.92777777777778/180</f>
        <v>3.2932098765432113E-2</v>
      </c>
      <c r="AO18" s="43"/>
      <c r="AP18" s="43"/>
      <c r="AQ18" s="43"/>
      <c r="AR18" s="43"/>
      <c r="AS18" s="43"/>
      <c r="AT18" s="43">
        <v>4.8</v>
      </c>
      <c r="AU18" s="43">
        <v>28.3</v>
      </c>
      <c r="AV18" s="48"/>
      <c r="AW18" s="48"/>
      <c r="AX18" s="49">
        <f t="shared" si="0"/>
        <v>30.900000000000002</v>
      </c>
      <c r="AY18" s="49">
        <f t="shared" si="1"/>
        <v>220</v>
      </c>
      <c r="AZ18" s="49">
        <f t="shared" si="2"/>
        <v>0.55228428662556395</v>
      </c>
      <c r="BA18">
        <f t="shared" si="3"/>
        <v>7.1376143782079469</v>
      </c>
    </row>
    <row r="19" spans="1:53" x14ac:dyDescent="0.3">
      <c r="A19" s="42" t="s">
        <v>35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  <c r="P19" s="45"/>
      <c r="Q19" s="343"/>
      <c r="R19" s="46"/>
      <c r="S19" s="47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>
        <f>0.1363+13.2385</f>
        <v>13.3748</v>
      </c>
      <c r="AU19" s="43">
        <v>5.246E-2</v>
      </c>
      <c r="AV19" s="43">
        <f>5915.51824/180</f>
        <v>32.863990222222228</v>
      </c>
      <c r="AW19" s="346"/>
      <c r="AX19" s="49">
        <f t="shared" si="0"/>
        <v>13.3748</v>
      </c>
      <c r="AY19" s="49">
        <f t="shared" si="1"/>
        <v>5.246E-2</v>
      </c>
      <c r="AZ19" s="49">
        <f t="shared" si="2"/>
        <v>32.863990222222228</v>
      </c>
      <c r="BA19">
        <f t="shared" si="3"/>
        <v>2.4610798084623493</v>
      </c>
    </row>
    <row r="20" spans="1:53" x14ac:dyDescent="0.3">
      <c r="A20" s="42" t="s">
        <v>58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4"/>
      <c r="P20" s="45"/>
      <c r="Q20" s="343"/>
      <c r="R20" s="46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8"/>
      <c r="AW20" s="48"/>
      <c r="AX20" s="49">
        <f t="shared" si="0"/>
        <v>0</v>
      </c>
      <c r="AY20" s="49">
        <f t="shared" si="1"/>
        <v>0</v>
      </c>
      <c r="AZ20" s="49">
        <f t="shared" si="2"/>
        <v>0</v>
      </c>
      <c r="BA20" t="e">
        <f t="shared" si="3"/>
        <v>#DIV/0!</v>
      </c>
    </row>
    <row r="21" spans="1:53" x14ac:dyDescent="0.3">
      <c r="A21" s="42" t="s">
        <v>37</v>
      </c>
      <c r="B21" s="43"/>
      <c r="C21" s="43"/>
      <c r="D21" s="43"/>
      <c r="E21" s="43"/>
      <c r="F21" s="43"/>
      <c r="G21" s="43"/>
      <c r="H21" s="43"/>
      <c r="I21" s="43"/>
      <c r="J21" s="43">
        <v>0.84</v>
      </c>
      <c r="K21" s="43">
        <v>11</v>
      </c>
      <c r="L21" s="43"/>
      <c r="M21" s="43"/>
      <c r="N21" s="43"/>
      <c r="O21" s="44"/>
      <c r="P21" s="45"/>
      <c r="Q21" s="343"/>
      <c r="R21" s="46">
        <v>1.9990000000000001</v>
      </c>
      <c r="S21" s="47">
        <v>38</v>
      </c>
      <c r="T21" s="43"/>
      <c r="U21" s="43"/>
      <c r="V21" s="43"/>
      <c r="W21" s="43"/>
      <c r="X21" s="43"/>
      <c r="Y21" s="43"/>
      <c r="Z21" s="43">
        <v>8.1430000000000007</v>
      </c>
      <c r="AA21" s="43">
        <v>89</v>
      </c>
      <c r="AB21" s="43"/>
      <c r="AC21" s="43"/>
      <c r="AD21" s="43"/>
      <c r="AE21" s="43"/>
      <c r="AF21" s="43"/>
      <c r="AG21" s="43"/>
      <c r="AH21" s="43">
        <v>2.4279999999999999</v>
      </c>
      <c r="AI21" s="43">
        <v>14</v>
      </c>
      <c r="AJ21" s="43"/>
      <c r="AK21" s="43"/>
      <c r="AL21" s="43">
        <v>0.27400000000000002</v>
      </c>
      <c r="AM21" s="43">
        <v>1</v>
      </c>
      <c r="AN21" s="43"/>
      <c r="AO21" s="43"/>
      <c r="AP21" s="43"/>
      <c r="AQ21" s="43"/>
      <c r="AR21" s="43"/>
      <c r="AS21" s="43"/>
      <c r="AT21" s="43">
        <v>4.0659999999999998</v>
      </c>
      <c r="AU21" s="43">
        <v>53</v>
      </c>
      <c r="AV21" s="48"/>
      <c r="AW21" s="48"/>
      <c r="AX21" s="49">
        <f t="shared" si="0"/>
        <v>17.75</v>
      </c>
      <c r="AY21" s="49">
        <f t="shared" si="1"/>
        <v>206</v>
      </c>
      <c r="AZ21" s="49">
        <f t="shared" si="2"/>
        <v>0</v>
      </c>
      <c r="BA21">
        <f t="shared" si="3"/>
        <v>11.605633802816902</v>
      </c>
    </row>
    <row r="22" spans="1:53" ht="15.6" x14ac:dyDescent="0.3">
      <c r="A22" s="54" t="s">
        <v>38</v>
      </c>
      <c r="B22" s="30"/>
      <c r="C22" s="30"/>
      <c r="D22" s="30"/>
      <c r="E22" s="30"/>
      <c r="F22" s="30"/>
      <c r="G22" s="30"/>
      <c r="H22" s="30"/>
      <c r="I22" s="30"/>
      <c r="J22" s="30">
        <v>0.47</v>
      </c>
      <c r="K22" s="30">
        <v>1.54</v>
      </c>
      <c r="L22" s="30"/>
      <c r="M22" s="30"/>
      <c r="N22" s="30">
        <v>0.01</v>
      </c>
      <c r="O22" s="30"/>
      <c r="P22" s="30"/>
      <c r="Q22" s="30"/>
      <c r="R22" s="30">
        <v>0.43</v>
      </c>
      <c r="S22" s="30">
        <v>1.94</v>
      </c>
      <c r="T22" s="30"/>
      <c r="U22" s="30"/>
      <c r="V22" s="30">
        <v>0.12</v>
      </c>
      <c r="W22" s="30">
        <v>0.53</v>
      </c>
      <c r="X22" s="30"/>
      <c r="Y22" s="30"/>
      <c r="Z22" s="30">
        <v>3.76</v>
      </c>
      <c r="AA22" s="30">
        <v>23.82</v>
      </c>
      <c r="AB22" s="30"/>
      <c r="AC22" s="30"/>
      <c r="AD22" s="30"/>
      <c r="AE22" s="30"/>
      <c r="AF22" s="30"/>
      <c r="AG22" s="30"/>
      <c r="AH22" s="30">
        <v>1.21</v>
      </c>
      <c r="AI22" s="30">
        <v>6.99</v>
      </c>
      <c r="AJ22" s="30"/>
      <c r="AK22" s="30"/>
      <c r="AL22" s="30">
        <v>0.45</v>
      </c>
      <c r="AM22" s="30">
        <v>2.1800000000000002</v>
      </c>
      <c r="AN22" s="30"/>
      <c r="AO22" s="30"/>
      <c r="AP22" s="30"/>
      <c r="AQ22" s="30"/>
      <c r="AR22" s="30"/>
      <c r="AS22" s="30"/>
      <c r="AT22" s="30">
        <v>0.8</v>
      </c>
      <c r="AU22" s="30">
        <v>1.53</v>
      </c>
      <c r="AV22" s="30"/>
      <c r="AW22" s="30"/>
      <c r="AX22" s="49">
        <f t="shared" si="0"/>
        <v>7.2499999999999991</v>
      </c>
      <c r="AY22" s="49">
        <f t="shared" si="1"/>
        <v>38.53</v>
      </c>
      <c r="AZ22" s="49">
        <f t="shared" si="2"/>
        <v>0</v>
      </c>
      <c r="BA22">
        <f t="shared" si="3"/>
        <v>5.3144827586206906</v>
      </c>
    </row>
    <row r="23" spans="1:53" x14ac:dyDescent="0.3">
      <c r="A23" s="55" t="s">
        <v>39</v>
      </c>
      <c r="B23" s="43"/>
      <c r="C23" s="43"/>
      <c r="D23" s="43"/>
      <c r="E23" s="43"/>
      <c r="F23" s="43">
        <v>1.6E-2</v>
      </c>
      <c r="G23" s="43"/>
      <c r="H23" s="43"/>
      <c r="I23" s="43"/>
      <c r="J23" s="43"/>
      <c r="K23" s="43"/>
      <c r="L23" s="43"/>
      <c r="M23" s="43"/>
      <c r="N23" s="43">
        <v>0.03</v>
      </c>
      <c r="O23" s="44"/>
      <c r="P23" s="45"/>
      <c r="Q23" s="343"/>
      <c r="R23" s="46">
        <v>8.0000000000000002E-3</v>
      </c>
      <c r="S23" s="47"/>
      <c r="T23" s="43"/>
      <c r="U23" s="43"/>
      <c r="V23" s="43"/>
      <c r="W23" s="43"/>
      <c r="X23" s="43"/>
      <c r="Y23" s="43"/>
      <c r="Z23" s="43">
        <v>0.24</v>
      </c>
      <c r="AA23" s="43">
        <v>0.128</v>
      </c>
      <c r="AB23" s="43"/>
      <c r="AC23" s="43"/>
      <c r="AD23" s="43">
        <v>2.9000000000000001E-2</v>
      </c>
      <c r="AE23" s="43"/>
      <c r="AF23" s="43"/>
      <c r="AG23" s="43"/>
      <c r="AH23" s="43">
        <v>4.9000000000000002E-2</v>
      </c>
      <c r="AI23" s="43">
        <v>1.4999999999999999E-2</v>
      </c>
      <c r="AJ23" s="43"/>
      <c r="AK23" s="43"/>
      <c r="AL23" s="43">
        <v>1.7999999999999999E-2</v>
      </c>
      <c r="AM23" s="43"/>
      <c r="AN23" s="43"/>
      <c r="AO23" s="43"/>
      <c r="AP23" s="43"/>
      <c r="AQ23" s="43"/>
      <c r="AR23" s="43"/>
      <c r="AS23" s="43"/>
      <c r="AT23" s="43">
        <v>0.42</v>
      </c>
      <c r="AU23" s="43">
        <v>0.158</v>
      </c>
      <c r="AV23" s="48"/>
      <c r="AW23" s="48"/>
      <c r="AX23" s="49">
        <f t="shared" si="0"/>
        <v>0.81</v>
      </c>
      <c r="AY23" s="49">
        <f t="shared" si="1"/>
        <v>0.30100000000000005</v>
      </c>
      <c r="AZ23" s="49">
        <f t="shared" si="2"/>
        <v>0</v>
      </c>
      <c r="BA23">
        <f t="shared" si="3"/>
        <v>0.37160493827160496</v>
      </c>
    </row>
    <row r="24" spans="1:53" x14ac:dyDescent="0.3">
      <c r="A24" s="42" t="s">
        <v>40</v>
      </c>
      <c r="B24" s="43">
        <v>2.1999999999999999E-2</v>
      </c>
      <c r="C24" s="43"/>
      <c r="D24" s="43">
        <f>0.722222222222222/180</f>
        <v>4.0123456790123442E-3</v>
      </c>
      <c r="E24" s="43"/>
      <c r="F24" s="43">
        <v>4.0000000000000001E-3</v>
      </c>
      <c r="G24" s="43"/>
      <c r="H24" s="43">
        <f>0.380952380952381/210</f>
        <v>1.8140589569160999E-3</v>
      </c>
      <c r="I24" s="43"/>
      <c r="J24" s="43">
        <v>4.0000000000000001E-3</v>
      </c>
      <c r="K24" s="43"/>
      <c r="L24" s="43">
        <f>0.0888888888888889/180</f>
        <v>4.9382716049382728E-4</v>
      </c>
      <c r="M24" s="43"/>
      <c r="N24" s="43">
        <v>1.4E-2</v>
      </c>
      <c r="O24" s="44"/>
      <c r="P24" s="45">
        <f>0.914285714285714/175</f>
        <v>5.2244897959183656E-3</v>
      </c>
      <c r="Q24" s="343"/>
      <c r="R24" s="46"/>
      <c r="S24" s="47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>
        <v>1.2999999999999999E-2</v>
      </c>
      <c r="AE24" s="43"/>
      <c r="AF24" s="43">
        <f>0.5/130</f>
        <v>3.8461538461538464E-3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8"/>
      <c r="AW24" s="48"/>
      <c r="AX24" s="49">
        <f t="shared" si="0"/>
        <v>5.6999999999999995E-2</v>
      </c>
      <c r="AY24" s="49">
        <f t="shared" si="1"/>
        <v>0</v>
      </c>
      <c r="AZ24" s="49">
        <f t="shared" si="2"/>
        <v>1.5390875438494482E-2</v>
      </c>
      <c r="BA24">
        <f t="shared" si="3"/>
        <v>0.27001535857007863</v>
      </c>
    </row>
    <row r="25" spans="1:53" x14ac:dyDescent="0.3">
      <c r="A25" s="42" t="s">
        <v>41</v>
      </c>
      <c r="B25" s="43">
        <v>0.01</v>
      </c>
      <c r="C25" s="56"/>
      <c r="D25" s="43">
        <f>0.836111111111111/180</f>
        <v>4.6450617283950611E-3</v>
      </c>
      <c r="E25" s="43"/>
      <c r="F25" s="43">
        <v>2.5000000000000001E-2</v>
      </c>
      <c r="G25" s="43"/>
      <c r="H25" s="43">
        <f>0.11/210</f>
        <v>5.2380952380952383E-4</v>
      </c>
      <c r="I25" s="43"/>
      <c r="J25" s="43"/>
      <c r="K25" s="43"/>
      <c r="L25" s="43"/>
      <c r="M25" s="43"/>
      <c r="N25" s="43">
        <v>2.7E-2</v>
      </c>
      <c r="O25" s="44"/>
      <c r="P25" s="44">
        <f>0.172571428571429/175</f>
        <v>9.8612244897959426E-4</v>
      </c>
      <c r="Q25" s="344"/>
      <c r="R25" s="46">
        <v>1.2999999999999999E-2</v>
      </c>
      <c r="S25" s="56"/>
      <c r="T25" s="47">
        <f>0.005625/80</f>
        <v>7.0312499999999995E-5</v>
      </c>
      <c r="U25" s="47"/>
      <c r="V25" s="43"/>
      <c r="W25" s="43"/>
      <c r="X25" s="43"/>
      <c r="Y25" s="43"/>
      <c r="Z25" s="43"/>
      <c r="AA25" s="43"/>
      <c r="AB25" s="43"/>
      <c r="AC25" s="43"/>
      <c r="AD25" s="43">
        <v>0.02</v>
      </c>
      <c r="AE25" s="56"/>
      <c r="AF25" s="43">
        <f>0.00807692307692308/130</f>
        <v>6.2130177514792921E-5</v>
      </c>
      <c r="AG25" s="43"/>
      <c r="AH25" s="43">
        <v>2.4E-2</v>
      </c>
      <c r="AI25" s="56"/>
      <c r="AJ25" s="43">
        <f>0.693307692307692/130</f>
        <v>5.3331360946745534E-3</v>
      </c>
      <c r="AK25" s="43"/>
      <c r="AL25" s="43"/>
      <c r="AM25" s="43"/>
      <c r="AN25" s="43"/>
      <c r="AO25" s="43"/>
      <c r="AP25" s="43"/>
      <c r="AQ25" s="43"/>
      <c r="AR25" s="43"/>
      <c r="AS25" s="43"/>
      <c r="AT25" s="43">
        <v>7.9000000000000001E-2</v>
      </c>
      <c r="AU25" s="43">
        <v>180</v>
      </c>
      <c r="AV25" s="48"/>
      <c r="AW25" s="48"/>
      <c r="AX25" s="49">
        <f t="shared" ref="AX25:AX37" si="4">B25+F25+J25+N25+R25+V25+Z25+AD25+AH25+AL25+AP25+AT25</f>
        <v>0.19800000000000001</v>
      </c>
      <c r="AY25" s="49">
        <f>D25+G25+K25+O25+T25+W25+AA25+AF25+AJ25+AM25+AQ25+AU25</f>
        <v>180.01011064050059</v>
      </c>
      <c r="AZ25" s="49">
        <f t="shared" ref="AZ25:AZ37" si="5">D25+H25+L25+P25+T25+X25+AB25+AF25+AJ25+AN25+AR25+AV25</f>
        <v>1.1620572473373527E-2</v>
      </c>
      <c r="BA25">
        <f t="shared" si="3"/>
        <v>909.20066269178756</v>
      </c>
    </row>
    <row r="26" spans="1:53" x14ac:dyDescent="0.3">
      <c r="A26" s="57" t="s">
        <v>42</v>
      </c>
      <c r="B26" s="43">
        <v>3.0000000000000001E-3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>
        <v>1E-3</v>
      </c>
      <c r="O26" s="44"/>
      <c r="P26" s="45"/>
      <c r="Q26" s="343"/>
      <c r="R26" s="46"/>
      <c r="S26" s="47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>
        <v>1E-3</v>
      </c>
      <c r="AE26" s="43"/>
      <c r="AF26" s="43"/>
      <c r="AG26" s="43"/>
      <c r="AH26" s="43">
        <v>2E-3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>
        <v>4.0000000000000001E-3</v>
      </c>
      <c r="AU26" s="43"/>
      <c r="AV26" s="48"/>
      <c r="AW26" s="48"/>
      <c r="AX26" s="49">
        <f t="shared" si="4"/>
        <v>1.0999999999999999E-2</v>
      </c>
      <c r="AY26" s="49">
        <f t="shared" ref="AY26:AY37" si="6">C26+G26+K26+O26+S26+W26+AA26+AE26+AI26+AM26+AQ26+AU26</f>
        <v>0</v>
      </c>
      <c r="AZ26" s="49">
        <f t="shared" si="5"/>
        <v>0</v>
      </c>
      <c r="BA26">
        <f t="shared" si="3"/>
        <v>0</v>
      </c>
    </row>
    <row r="27" spans="1:53" ht="15.6" x14ac:dyDescent="0.3">
      <c r="A27" s="54" t="s">
        <v>43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>
        <v>8.0000000000000002E-3</v>
      </c>
      <c r="O27" s="53"/>
      <c r="P27" s="53">
        <f>0.001/175</f>
        <v>5.7142857142857145E-6</v>
      </c>
      <c r="Q27" s="53"/>
      <c r="R27" s="53">
        <v>2.37</v>
      </c>
      <c r="S27" s="53"/>
      <c r="T27" s="53">
        <f>2358.78/80</f>
        <v>29.484750000000002</v>
      </c>
      <c r="U27" s="53"/>
      <c r="V27" s="53"/>
      <c r="W27" s="53"/>
      <c r="X27" s="53"/>
      <c r="Y27" s="53"/>
      <c r="Z27" s="53">
        <v>2.74</v>
      </c>
      <c r="AA27" s="53">
        <v>24.58</v>
      </c>
      <c r="AB27" s="53"/>
      <c r="AC27" s="53"/>
      <c r="AD27" s="53"/>
      <c r="AE27" s="53"/>
      <c r="AF27" s="53"/>
      <c r="AG27" s="53"/>
      <c r="AH27" s="53">
        <v>1.87</v>
      </c>
      <c r="AI27" s="53"/>
      <c r="AJ27" s="53">
        <f>3597.64/130</f>
        <v>27.674153846153846</v>
      </c>
      <c r="AK27" s="53"/>
      <c r="AL27" s="53">
        <v>0.51</v>
      </c>
      <c r="AM27" s="53">
        <v>1.28</v>
      </c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49">
        <f t="shared" si="4"/>
        <v>7.4980000000000002</v>
      </c>
      <c r="AY27" s="49">
        <f t="shared" si="6"/>
        <v>25.86</v>
      </c>
      <c r="AZ27" s="49">
        <f t="shared" si="5"/>
        <v>57.158909560439561</v>
      </c>
      <c r="BA27">
        <f t="shared" si="3"/>
        <v>11.072140512195194</v>
      </c>
    </row>
    <row r="28" spans="1:53" x14ac:dyDescent="0.3">
      <c r="A28" s="57" t="s">
        <v>44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4"/>
      <c r="P28" s="45"/>
      <c r="Q28" s="343"/>
      <c r="R28" s="46"/>
      <c r="S28" s="47"/>
      <c r="T28" s="43"/>
      <c r="U28" s="43"/>
      <c r="V28" s="43">
        <v>0.03</v>
      </c>
      <c r="W28" s="43">
        <v>0.30499999999999999</v>
      </c>
      <c r="X28" s="43"/>
      <c r="Y28" s="43"/>
      <c r="Z28" s="43">
        <v>0.11799999999999999</v>
      </c>
      <c r="AA28" s="43">
        <v>1.0620000000000001</v>
      </c>
      <c r="AB28" s="43"/>
      <c r="AC28" s="43"/>
      <c r="AD28" s="43"/>
      <c r="AE28" s="43"/>
      <c r="AF28" s="43"/>
      <c r="AG28" s="43"/>
      <c r="AH28" s="43">
        <v>6.0000000000000001E-3</v>
      </c>
      <c r="AI28" s="43">
        <v>3.0000000000000001E-3</v>
      </c>
      <c r="AJ28" s="43"/>
      <c r="AK28" s="43"/>
      <c r="AL28" s="43">
        <v>4.0000000000000001E-3</v>
      </c>
      <c r="AM28" s="43">
        <v>2.4E-2</v>
      </c>
      <c r="AN28" s="43"/>
      <c r="AO28" s="43"/>
      <c r="AP28" s="43"/>
      <c r="AQ28" s="43"/>
      <c r="AR28" s="43"/>
      <c r="AS28" s="43"/>
      <c r="AT28" s="43">
        <v>1.7000000000000001E-2</v>
      </c>
      <c r="AU28" s="43">
        <v>9.4E-2</v>
      </c>
      <c r="AV28" s="48"/>
      <c r="AW28" s="48"/>
      <c r="AX28" s="49">
        <f t="shared" si="4"/>
        <v>0.17499999999999999</v>
      </c>
      <c r="AY28" s="49">
        <f t="shared" si="6"/>
        <v>1.488</v>
      </c>
      <c r="AZ28" s="49">
        <f t="shared" si="5"/>
        <v>0</v>
      </c>
      <c r="BA28">
        <f t="shared" si="3"/>
        <v>8.5028571428571436</v>
      </c>
    </row>
    <row r="29" spans="1:53" x14ac:dyDescent="0.3">
      <c r="A29" s="42" t="s">
        <v>45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4"/>
      <c r="P29" s="45"/>
      <c r="Q29" s="343"/>
      <c r="R29" s="46"/>
      <c r="S29" s="47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>
        <v>1.3740000000000001</v>
      </c>
      <c r="AU29" s="43">
        <v>10.654</v>
      </c>
      <c r="AV29" s="48"/>
      <c r="AW29" s="48"/>
      <c r="AX29" s="49">
        <f t="shared" si="4"/>
        <v>1.3740000000000001</v>
      </c>
      <c r="AY29" s="49">
        <f t="shared" si="6"/>
        <v>10.654</v>
      </c>
      <c r="AZ29" s="49">
        <f t="shared" si="5"/>
        <v>0</v>
      </c>
      <c r="BA29">
        <f t="shared" si="3"/>
        <v>7.7540029112081506</v>
      </c>
    </row>
    <row r="30" spans="1:53" x14ac:dyDescent="0.3">
      <c r="A30" s="42" t="s">
        <v>46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4"/>
      <c r="P30" s="45"/>
      <c r="Q30" s="343"/>
      <c r="R30" s="46"/>
      <c r="S30" s="47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>
        <v>2.71</v>
      </c>
      <c r="AU30" s="43">
        <v>2.91</v>
      </c>
      <c r="AV30" s="48"/>
      <c r="AW30" s="48"/>
      <c r="AX30" s="49">
        <f t="shared" si="4"/>
        <v>2.71</v>
      </c>
      <c r="AY30" s="49">
        <f t="shared" si="6"/>
        <v>2.91</v>
      </c>
      <c r="AZ30" s="49">
        <f t="shared" si="5"/>
        <v>0</v>
      </c>
      <c r="BA30">
        <f t="shared" si="3"/>
        <v>1.0738007380073802</v>
      </c>
    </row>
    <row r="31" spans="1:53" x14ac:dyDescent="0.3">
      <c r="A31" s="42" t="s">
        <v>47</v>
      </c>
      <c r="B31" s="43">
        <v>1.0999999999999999E-2</v>
      </c>
      <c r="C31" s="43"/>
      <c r="D31" s="43">
        <f>0.0277777777777778/180</f>
        <v>1.5432098765432112E-4</v>
      </c>
      <c r="E31" s="43"/>
      <c r="F31" s="43">
        <v>7.0000000000000001E-3</v>
      </c>
      <c r="G31" s="43"/>
      <c r="H31" s="43">
        <f>0.0428571428571429/210</f>
        <v>2.0408163265306142E-4</v>
      </c>
      <c r="I31" s="43"/>
      <c r="J31" s="43"/>
      <c r="K31" s="43"/>
      <c r="L31" s="43"/>
      <c r="M31" s="43"/>
      <c r="N31" s="43">
        <v>3.1E-2</v>
      </c>
      <c r="O31" s="44"/>
      <c r="P31" s="45">
        <f>0.108571428571429/175</f>
        <v>6.2040816326530853E-4</v>
      </c>
      <c r="Q31" s="343"/>
      <c r="R31" s="46">
        <v>3.4000000000000002E-2</v>
      </c>
      <c r="S31" s="47"/>
      <c r="T31" s="43">
        <f>0.875/80</f>
        <v>1.0937499999999999E-2</v>
      </c>
      <c r="U31" s="43"/>
      <c r="V31" s="43"/>
      <c r="W31" s="43"/>
      <c r="X31" s="43"/>
      <c r="Y31" s="43"/>
      <c r="Z31" s="43">
        <v>1.7000000000000001E-2</v>
      </c>
      <c r="AA31" s="43">
        <v>16.5</v>
      </c>
      <c r="AB31" s="43"/>
      <c r="AC31" s="43"/>
      <c r="AD31" s="43">
        <v>3.7999999999999999E-2</v>
      </c>
      <c r="AE31" s="43"/>
      <c r="AF31" s="43">
        <f>0.246153846153846/130</f>
        <v>1.8934911242603539E-3</v>
      </c>
      <c r="AG31" s="43"/>
      <c r="AH31" s="43">
        <v>2.5000000000000001E-2</v>
      </c>
      <c r="AI31" s="43"/>
      <c r="AJ31" s="43">
        <f>0.184615384615385/130</f>
        <v>1.420118343195269E-3</v>
      </c>
      <c r="AK31" s="43"/>
      <c r="AL31" s="43"/>
      <c r="AM31" s="43"/>
      <c r="AN31" s="43"/>
      <c r="AO31" s="43"/>
      <c r="AP31" s="43"/>
      <c r="AQ31" s="43"/>
      <c r="AR31" s="43"/>
      <c r="AS31" s="43"/>
      <c r="AT31" s="43">
        <v>7.9000000000000001E-2</v>
      </c>
      <c r="AU31" s="43"/>
      <c r="AV31" s="48">
        <f>0.438888888888889/180</f>
        <v>2.4382716049382723E-3</v>
      </c>
      <c r="AW31" s="48"/>
      <c r="AX31" s="49">
        <f t="shared" si="4"/>
        <v>0.24199999999999999</v>
      </c>
      <c r="AY31" s="49">
        <f t="shared" si="6"/>
        <v>16.5</v>
      </c>
      <c r="AZ31" s="49">
        <f t="shared" si="5"/>
        <v>1.7668191855966586E-2</v>
      </c>
      <c r="BA31">
        <f t="shared" si="3"/>
        <v>68.254827239074245</v>
      </c>
    </row>
    <row r="32" spans="1:53" ht="15.6" x14ac:dyDescent="0.3">
      <c r="A32" s="42" t="s">
        <v>48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30">
        <v>55.03</v>
      </c>
      <c r="AU32" s="30">
        <v>343.65</v>
      </c>
      <c r="AV32" s="30">
        <f>2317.304/180</f>
        <v>12.873911111111111</v>
      </c>
      <c r="AW32" s="30"/>
      <c r="AX32" s="49">
        <f t="shared" si="4"/>
        <v>55.03</v>
      </c>
      <c r="AY32" s="49">
        <f t="shared" si="6"/>
        <v>343.65</v>
      </c>
      <c r="AZ32" s="49">
        <f t="shared" si="5"/>
        <v>12.873911111111111</v>
      </c>
      <c r="BA32">
        <f t="shared" si="3"/>
        <v>6.4787190825206444</v>
      </c>
    </row>
    <row r="33" spans="1:53" x14ac:dyDescent="0.3">
      <c r="A33" s="58" t="s">
        <v>65</v>
      </c>
      <c r="B33" s="43"/>
      <c r="C33" s="43"/>
      <c r="D33" s="43"/>
      <c r="E33" s="43"/>
      <c r="F33" s="43"/>
      <c r="G33" s="43"/>
      <c r="H33" s="43"/>
      <c r="I33" s="43"/>
      <c r="J33" s="43">
        <v>1.3280000000000001</v>
      </c>
      <c r="K33" s="43">
        <v>2.718</v>
      </c>
      <c r="L33" s="43"/>
      <c r="M33" s="43"/>
      <c r="N33" s="43">
        <v>4.9000000000000002E-2</v>
      </c>
      <c r="O33" s="44"/>
      <c r="P33" s="45">
        <f>6.00571428571429/175</f>
        <v>3.43183673469388E-2</v>
      </c>
      <c r="Q33" s="343"/>
      <c r="R33" s="46"/>
      <c r="S33" s="47"/>
      <c r="T33" s="43"/>
      <c r="U33" s="43"/>
      <c r="V33" s="43">
        <v>0.64600000000000002</v>
      </c>
      <c r="W33" s="43">
        <v>1.8440000000000001</v>
      </c>
      <c r="X33" s="43"/>
      <c r="Y33" s="43"/>
      <c r="Z33" s="43">
        <v>2.61</v>
      </c>
      <c r="AA33" s="43">
        <v>9.6270000000000007</v>
      </c>
      <c r="AB33" s="43"/>
      <c r="AC33" s="43"/>
      <c r="AD33" s="43"/>
      <c r="AE33" s="43"/>
      <c r="AF33" s="43"/>
      <c r="AG33" s="43"/>
      <c r="AH33" s="43">
        <v>0.80200000000000005</v>
      </c>
      <c r="AI33" s="43">
        <v>1.002</v>
      </c>
      <c r="AJ33" s="43"/>
      <c r="AK33" s="43"/>
      <c r="AL33" s="43">
        <v>1.4999999999999999E-2</v>
      </c>
      <c r="AM33" s="43">
        <v>7.1999999999999995E-2</v>
      </c>
      <c r="AN33" s="43"/>
      <c r="AO33" s="43"/>
      <c r="AP33" s="43"/>
      <c r="AQ33" s="43"/>
      <c r="AR33" s="43"/>
      <c r="AS33" s="43"/>
      <c r="AT33" s="43">
        <v>2.391</v>
      </c>
      <c r="AU33" s="43">
        <v>7.1310000000000002</v>
      </c>
      <c r="AV33" s="48"/>
      <c r="AW33" s="48"/>
      <c r="AX33" s="49">
        <f t="shared" si="4"/>
        <v>7.8410000000000002</v>
      </c>
      <c r="AY33" s="49">
        <f t="shared" si="6"/>
        <v>22.393999999999998</v>
      </c>
      <c r="AZ33" s="49">
        <f t="shared" si="5"/>
        <v>3.43183673469388E-2</v>
      </c>
      <c r="BA33">
        <f t="shared" si="3"/>
        <v>2.8603900481248483</v>
      </c>
    </row>
    <row r="34" spans="1:53" x14ac:dyDescent="0.3">
      <c r="A34" s="42" t="s">
        <v>49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4"/>
      <c r="P34" s="45"/>
      <c r="Q34" s="343"/>
      <c r="R34" s="46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8"/>
      <c r="AW34" s="48"/>
      <c r="AX34" s="49">
        <f t="shared" si="4"/>
        <v>0</v>
      </c>
      <c r="AY34" s="49">
        <f t="shared" si="6"/>
        <v>0</v>
      </c>
      <c r="AZ34" s="49">
        <f t="shared" si="5"/>
        <v>0</v>
      </c>
      <c r="BA34" t="e">
        <f t="shared" si="3"/>
        <v>#DIV/0!</v>
      </c>
    </row>
    <row r="35" spans="1:53" x14ac:dyDescent="0.3">
      <c r="A35" s="42" t="s">
        <v>50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4"/>
      <c r="P35" s="45"/>
      <c r="Q35" s="343"/>
      <c r="R35" s="46">
        <v>3.21</v>
      </c>
      <c r="S35" s="47"/>
      <c r="T35" s="43">
        <f>0.0375/80</f>
        <v>4.6874999999999998E-4</v>
      </c>
      <c r="U35" s="43"/>
      <c r="V35" s="43"/>
      <c r="W35" s="43"/>
      <c r="X35" s="43"/>
      <c r="Y35" s="43"/>
      <c r="Z35" s="43">
        <v>3.6019999999999999</v>
      </c>
      <c r="AA35" s="43">
        <v>7.2039999999999997</v>
      </c>
      <c r="AB35" s="43"/>
      <c r="AC35" s="43"/>
      <c r="AD35" s="43"/>
      <c r="AE35" s="43"/>
      <c r="AF35" s="43"/>
      <c r="AG35" s="43"/>
      <c r="AH35" s="43">
        <v>10.393000000000001</v>
      </c>
      <c r="AI35" s="43">
        <v>27.111999999999998</v>
      </c>
      <c r="AJ35" s="43">
        <f>0.0153846153846154/130</f>
        <v>1.183431952662723E-4</v>
      </c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8"/>
      <c r="AW35" s="48"/>
      <c r="AX35" s="49">
        <f t="shared" si="4"/>
        <v>17.204999999999998</v>
      </c>
      <c r="AY35" s="49">
        <f t="shared" si="6"/>
        <v>34.315999999999995</v>
      </c>
      <c r="AZ35" s="49">
        <f t="shared" si="5"/>
        <v>5.8709319526627224E-4</v>
      </c>
      <c r="BA35">
        <f t="shared" si="3"/>
        <v>1.994570595361538</v>
      </c>
    </row>
    <row r="36" spans="1:53" x14ac:dyDescent="0.3">
      <c r="A36" s="42" t="s">
        <v>51</v>
      </c>
      <c r="B36" s="43"/>
      <c r="C36" s="43"/>
      <c r="D36" s="43"/>
      <c r="E36" s="43"/>
      <c r="F36" s="43">
        <v>3.3000000000000002E-2</v>
      </c>
      <c r="G36" s="43"/>
      <c r="H36" s="43">
        <f>1.16666666666667/210</f>
        <v>5.5555555555555714E-3</v>
      </c>
      <c r="I36" s="43"/>
      <c r="J36" s="43"/>
      <c r="K36" s="43"/>
      <c r="L36" s="43"/>
      <c r="M36" s="43"/>
      <c r="N36" s="43">
        <v>9.0999999999999998E-2</v>
      </c>
      <c r="O36" s="44"/>
      <c r="P36" s="45">
        <f>5.57142857142857/175</f>
        <v>3.1836734693877544E-2</v>
      </c>
      <c r="Q36" s="343"/>
      <c r="R36" s="46">
        <v>0.48399999999999999</v>
      </c>
      <c r="S36" s="47"/>
      <c r="T36" s="43">
        <f>7.875/80</f>
        <v>9.8437499999999997E-2</v>
      </c>
      <c r="U36" s="43"/>
      <c r="V36" s="43"/>
      <c r="W36" s="43"/>
      <c r="X36" s="43"/>
      <c r="Y36" s="43"/>
      <c r="Z36" s="43">
        <v>0.68500000000000005</v>
      </c>
      <c r="AA36" s="43">
        <v>1.47</v>
      </c>
      <c r="AB36" s="43"/>
      <c r="AC36" s="43"/>
      <c r="AD36" s="43"/>
      <c r="AE36" s="43"/>
      <c r="AF36" s="43"/>
      <c r="AG36" s="43"/>
      <c r="AH36" s="43">
        <v>0.16300000000000001</v>
      </c>
      <c r="AI36" s="43">
        <v>0.16</v>
      </c>
      <c r="AJ36" s="43"/>
      <c r="AK36" s="43"/>
      <c r="AL36" s="43">
        <v>2.7E-2</v>
      </c>
      <c r="AM36" s="43">
        <v>0.32400000000000001</v>
      </c>
      <c r="AN36" s="43"/>
      <c r="AO36" s="43"/>
      <c r="AP36" s="43"/>
      <c r="AQ36" s="43"/>
      <c r="AR36" s="43"/>
      <c r="AS36" s="43"/>
      <c r="AT36" s="43">
        <v>0.14199999999999999</v>
      </c>
      <c r="AU36" s="43">
        <v>0.13300000000000001</v>
      </c>
      <c r="AV36" s="48">
        <f>0.0722222222222222/180</f>
        <v>4.0123456790123444E-4</v>
      </c>
      <c r="AW36" s="48"/>
      <c r="AX36" s="49">
        <f t="shared" si="4"/>
        <v>1.625</v>
      </c>
      <c r="AY36" s="49">
        <f t="shared" si="6"/>
        <v>2.0869999999999997</v>
      </c>
      <c r="AZ36" s="49">
        <f t="shared" si="5"/>
        <v>0.13623102481733435</v>
      </c>
      <c r="BA36">
        <f t="shared" si="3"/>
        <v>1.3681421691183595</v>
      </c>
    </row>
    <row r="37" spans="1:53" x14ac:dyDescent="0.3">
      <c r="A37" s="42" t="s">
        <v>52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  <c r="P37" s="45">
        <v>0</v>
      </c>
      <c r="Q37" s="343"/>
      <c r="R37" s="46"/>
      <c r="S37" s="47"/>
      <c r="T37" s="43">
        <v>0</v>
      </c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>
        <v>25.32</v>
      </c>
      <c r="AU37" s="43">
        <v>68.150000000000006</v>
      </c>
      <c r="AV37" s="48">
        <f>148.027777777778/180</f>
        <v>0.82237654320987774</v>
      </c>
      <c r="AW37" s="48"/>
      <c r="AX37" s="49">
        <f t="shared" si="4"/>
        <v>25.32</v>
      </c>
      <c r="AY37" s="49">
        <f t="shared" si="6"/>
        <v>68.150000000000006</v>
      </c>
      <c r="AZ37" s="49">
        <f t="shared" si="5"/>
        <v>0.82237654320987774</v>
      </c>
      <c r="BA37">
        <f t="shared" si="3"/>
        <v>2.7240275096054458</v>
      </c>
    </row>
    <row r="38" spans="1:53" x14ac:dyDescent="0.3">
      <c r="A38" s="337" t="s">
        <v>72</v>
      </c>
      <c r="B38" s="338">
        <f>SUM(B3:B37)</f>
        <v>0.11659999999999998</v>
      </c>
      <c r="C38" s="338">
        <f t="shared" ref="C38:AZ38" si="7">SUM(C3:C37)</f>
        <v>0.41599999999999998</v>
      </c>
      <c r="D38" s="338">
        <f t="shared" si="7"/>
        <v>1.6188271604938267E-2</v>
      </c>
      <c r="E38" s="338"/>
      <c r="F38" s="338">
        <f t="shared" si="7"/>
        <v>0.23399999999999999</v>
      </c>
      <c r="G38" s="338">
        <f t="shared" si="7"/>
        <v>0.61399999999999999</v>
      </c>
      <c r="H38" s="338">
        <f t="shared" si="7"/>
        <v>2.476417233560092E-2</v>
      </c>
      <c r="I38" s="338"/>
      <c r="J38" s="338">
        <f t="shared" si="7"/>
        <v>10.701999999999998</v>
      </c>
      <c r="K38" s="338">
        <f t="shared" si="7"/>
        <v>106.21200000000002</v>
      </c>
      <c r="L38" s="338">
        <f t="shared" si="7"/>
        <v>3.3518518518518517E-2</v>
      </c>
      <c r="M38" s="338"/>
      <c r="N38" s="338">
        <f t="shared" si="7"/>
        <v>0.90100000000000013</v>
      </c>
      <c r="O38" s="338">
        <f t="shared" si="7"/>
        <v>4</v>
      </c>
      <c r="P38" s="338">
        <f t="shared" si="7"/>
        <v>0.1248122448979592</v>
      </c>
      <c r="Q38" s="338"/>
      <c r="R38" s="338">
        <f t="shared" si="7"/>
        <v>11.161</v>
      </c>
      <c r="S38" s="338">
        <f t="shared" si="7"/>
        <v>47.32</v>
      </c>
      <c r="T38" s="338">
        <f t="shared" si="7"/>
        <v>29.798620312500002</v>
      </c>
      <c r="U38" s="338"/>
      <c r="V38" s="338">
        <f t="shared" si="7"/>
        <v>9.9059999999999988</v>
      </c>
      <c r="W38" s="338">
        <f t="shared" si="7"/>
        <v>56.131</v>
      </c>
      <c r="X38" s="338">
        <f t="shared" si="7"/>
        <v>9.5987654320987791E-3</v>
      </c>
      <c r="Y38" s="338"/>
      <c r="Z38" s="338">
        <f t="shared" si="7"/>
        <v>54.896000000000001</v>
      </c>
      <c r="AA38" s="338">
        <f t="shared" si="7"/>
        <v>485.13980000000004</v>
      </c>
      <c r="AB38" s="338">
        <f t="shared" si="7"/>
        <v>2.3765432098765447E-2</v>
      </c>
      <c r="AC38" s="338"/>
      <c r="AD38" s="338">
        <f t="shared" si="7"/>
        <v>0.46500000000000002</v>
      </c>
      <c r="AE38" s="338">
        <f t="shared" si="7"/>
        <v>2.496</v>
      </c>
      <c r="AF38" s="338">
        <f t="shared" si="7"/>
        <v>4.2310650887573999E-2</v>
      </c>
      <c r="AG38" s="338"/>
      <c r="AH38" s="338">
        <f t="shared" si="7"/>
        <v>26.377500000000001</v>
      </c>
      <c r="AI38" s="338">
        <f t="shared" si="7"/>
        <v>92.176999999999992</v>
      </c>
      <c r="AJ38" s="338">
        <f t="shared" si="7"/>
        <v>28.337038165680472</v>
      </c>
      <c r="AK38" s="338"/>
      <c r="AL38" s="338">
        <f t="shared" si="7"/>
        <v>6.6529999999999987</v>
      </c>
      <c r="AM38" s="338">
        <f t="shared" si="7"/>
        <v>39.859000000000002</v>
      </c>
      <c r="AN38" s="338">
        <f t="shared" si="7"/>
        <v>3.2970432098765448E-2</v>
      </c>
      <c r="AO38" s="338"/>
      <c r="AP38" s="338">
        <f t="shared" si="7"/>
        <v>1.7999999999999999E-2</v>
      </c>
      <c r="AQ38" s="338">
        <f t="shared" si="7"/>
        <v>0</v>
      </c>
      <c r="AR38" s="338">
        <f t="shared" si="7"/>
        <v>0</v>
      </c>
      <c r="AS38" s="338"/>
      <c r="AT38" s="338">
        <f t="shared" si="7"/>
        <v>124.69980000000001</v>
      </c>
      <c r="AU38" s="338">
        <f t="shared" si="7"/>
        <v>804.64545999999996</v>
      </c>
      <c r="AV38" s="338">
        <f t="shared" si="7"/>
        <v>46.901574172839517</v>
      </c>
      <c r="AW38" s="338"/>
      <c r="AX38" s="338">
        <f t="shared" si="7"/>
        <v>246.12990000000002</v>
      </c>
      <c r="AY38" s="338">
        <f t="shared" si="7"/>
        <v>1639.0203706405009</v>
      </c>
      <c r="AZ38" s="338">
        <f t="shared" si="7"/>
        <v>105.34516113889421</v>
      </c>
      <c r="BA38">
        <f t="shared" si="3"/>
        <v>7.0871744220405359</v>
      </c>
    </row>
    <row r="39" spans="1:53" ht="15.6" x14ac:dyDescent="0.3">
      <c r="A39" s="339" t="s">
        <v>73</v>
      </c>
      <c r="B39" s="340"/>
      <c r="C39" s="340"/>
      <c r="D39" s="341"/>
      <c r="E39" s="375">
        <f>(D38+C38)/B38</f>
        <v>3.7065889502996421</v>
      </c>
      <c r="F39" s="341"/>
      <c r="G39" s="341"/>
      <c r="H39" s="341"/>
      <c r="I39" s="375">
        <f t="shared" ref="I39:AS39" si="8">(H38+G38)/F38</f>
        <v>2.7297614202376108</v>
      </c>
      <c r="J39" s="341"/>
      <c r="K39" s="341"/>
      <c r="L39" s="341"/>
      <c r="M39" s="341">
        <f t="shared" si="8"/>
        <v>9.9276320798466227</v>
      </c>
      <c r="N39" s="341"/>
      <c r="O39" s="341"/>
      <c r="P39" s="341"/>
      <c r="Q39" s="375">
        <f t="shared" si="8"/>
        <v>4.5780380076558922</v>
      </c>
      <c r="R39" s="341"/>
      <c r="S39" s="341"/>
      <c r="T39" s="341"/>
      <c r="U39" s="375">
        <f t="shared" si="8"/>
        <v>6.9096514929217818</v>
      </c>
      <c r="V39" s="341"/>
      <c r="W39" s="341"/>
      <c r="X39" s="341"/>
      <c r="Y39" s="341">
        <f t="shared" si="8"/>
        <v>5.6673328049093588</v>
      </c>
      <c r="Z39" s="341"/>
      <c r="AA39" s="341"/>
      <c r="AB39" s="341"/>
      <c r="AC39" s="341">
        <f t="shared" si="8"/>
        <v>8.8378673388242994</v>
      </c>
      <c r="AD39" s="341"/>
      <c r="AE39" s="341"/>
      <c r="AF39" s="341"/>
      <c r="AG39" s="341">
        <f t="shared" si="8"/>
        <v>5.4587325825539228</v>
      </c>
      <c r="AH39" s="341"/>
      <c r="AI39" s="341"/>
      <c r="AJ39" s="341"/>
      <c r="AK39" s="341">
        <f t="shared" si="8"/>
        <v>4.5688195684079407</v>
      </c>
      <c r="AL39" s="341"/>
      <c r="AM39" s="341"/>
      <c r="AN39" s="341"/>
      <c r="AO39" s="341">
        <f t="shared" si="8"/>
        <v>5.9960875442805914</v>
      </c>
      <c r="AP39" s="341"/>
      <c r="AQ39" s="341"/>
      <c r="AR39" s="341"/>
      <c r="AS39" s="341">
        <f t="shared" si="8"/>
        <v>0</v>
      </c>
      <c r="AT39" s="341"/>
      <c r="AU39" s="341"/>
      <c r="AV39" s="341"/>
      <c r="AW39" s="341"/>
      <c r="AX39" s="341"/>
      <c r="AY39" s="341"/>
      <c r="AZ39" s="341"/>
      <c r="BA39" s="341"/>
    </row>
    <row r="40" spans="1:53" ht="15.6" x14ac:dyDescent="0.3">
      <c r="A40" s="339" t="s">
        <v>74</v>
      </c>
      <c r="B40" s="340"/>
      <c r="C40" s="340"/>
      <c r="D40" s="340"/>
      <c r="E40" s="340"/>
      <c r="F40" s="340"/>
      <c r="G40" s="340"/>
      <c r="H40" s="34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0"/>
      <c r="AA40" s="340"/>
      <c r="AB40" s="340"/>
      <c r="AC40" s="340"/>
      <c r="AD40" s="340"/>
      <c r="AE40" s="340"/>
      <c r="AF40" s="340"/>
      <c r="AG40" s="340"/>
      <c r="AH40" s="340"/>
      <c r="AI40" s="340"/>
      <c r="AJ40" s="340"/>
      <c r="AK40" s="340"/>
      <c r="AL40" s="340"/>
      <c r="AM40" s="340"/>
      <c r="AN40" s="340"/>
      <c r="AO40" s="340"/>
      <c r="AP40" s="340"/>
      <c r="AQ40" s="340"/>
      <c r="AR40" s="340"/>
      <c r="AS40" s="340"/>
      <c r="AT40" s="340"/>
      <c r="AU40" s="340"/>
      <c r="AV40" s="340"/>
      <c r="AW40" s="340"/>
      <c r="AX40" s="340"/>
      <c r="AY40" s="340"/>
      <c r="AZ40" s="340"/>
    </row>
    <row r="41" spans="1:53" x14ac:dyDescent="0.3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</row>
  </sheetData>
  <mergeCells count="13">
    <mergeCell ref="AY1:AZ1"/>
    <mergeCell ref="AA1:AB1"/>
    <mergeCell ref="AE1:AF1"/>
    <mergeCell ref="AI1:AJ1"/>
    <mergeCell ref="AM1:AN1"/>
    <mergeCell ref="AQ1:AR1"/>
    <mergeCell ref="AU1:AV1"/>
    <mergeCell ref="W1:X1"/>
    <mergeCell ref="C1:D1"/>
    <mergeCell ref="G1:H1"/>
    <mergeCell ref="K1:L1"/>
    <mergeCell ref="O1:P1"/>
    <mergeCell ref="S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6110-82AD-4E15-9BB3-9B1C793897E6}">
  <dimension ref="A1:BA35"/>
  <sheetViews>
    <sheetView topLeftCell="N18" workbookViewId="0">
      <selection activeCell="V34" sqref="V34"/>
    </sheetView>
  </sheetViews>
  <sheetFormatPr defaultRowHeight="14.4" x14ac:dyDescent="0.3"/>
  <cols>
    <col min="2" max="2" width="22.88671875" bestFit="1" customWidth="1"/>
  </cols>
  <sheetData>
    <row r="1" spans="1:53" ht="15.6" x14ac:dyDescent="0.3">
      <c r="A1" s="400" t="s">
        <v>75</v>
      </c>
      <c r="B1" s="59" t="s">
        <v>76</v>
      </c>
      <c r="C1" s="401" t="s">
        <v>1</v>
      </c>
      <c r="D1" s="401"/>
      <c r="E1" s="401"/>
      <c r="F1" s="349"/>
      <c r="G1" s="398" t="s">
        <v>2</v>
      </c>
      <c r="H1" s="398"/>
      <c r="I1" s="399"/>
      <c r="J1" s="316"/>
      <c r="K1" s="397" t="s">
        <v>3</v>
      </c>
      <c r="L1" s="398"/>
      <c r="M1" s="399"/>
      <c r="N1" s="316"/>
      <c r="O1" s="397" t="s">
        <v>4</v>
      </c>
      <c r="P1" s="398"/>
      <c r="Q1" s="399"/>
      <c r="R1" s="316"/>
      <c r="S1" s="397" t="s">
        <v>63</v>
      </c>
      <c r="T1" s="398"/>
      <c r="U1" s="399"/>
      <c r="V1" s="316"/>
      <c r="W1" s="397" t="s">
        <v>6</v>
      </c>
      <c r="X1" s="398"/>
      <c r="Y1" s="399"/>
      <c r="Z1" s="316"/>
      <c r="AA1" s="397" t="s">
        <v>77</v>
      </c>
      <c r="AB1" s="398"/>
      <c r="AC1" s="399"/>
      <c r="AD1" s="316"/>
      <c r="AE1" s="397" t="s">
        <v>78</v>
      </c>
      <c r="AF1" s="398"/>
      <c r="AG1" s="399"/>
      <c r="AH1" s="316"/>
      <c r="AI1" s="397" t="s">
        <v>9</v>
      </c>
      <c r="AJ1" s="398"/>
      <c r="AK1" s="399"/>
      <c r="AL1" s="316"/>
      <c r="AM1" s="397" t="s">
        <v>10</v>
      </c>
      <c r="AN1" s="398"/>
      <c r="AO1" s="399"/>
      <c r="AP1" s="316"/>
      <c r="AQ1" s="397" t="s">
        <v>11</v>
      </c>
      <c r="AR1" s="398"/>
      <c r="AS1" s="405"/>
      <c r="AT1" s="349"/>
      <c r="AU1" s="402" t="s">
        <v>79</v>
      </c>
      <c r="AV1" s="403"/>
      <c r="AW1" s="404"/>
      <c r="AX1" s="401" t="s">
        <v>53</v>
      </c>
      <c r="AY1" s="401"/>
      <c r="AZ1" s="401"/>
    </row>
    <row r="2" spans="1:53" ht="15.6" x14ac:dyDescent="0.3">
      <c r="A2" s="400"/>
      <c r="B2" s="62"/>
      <c r="C2" s="60" t="s">
        <v>14</v>
      </c>
      <c r="D2" s="401" t="s">
        <v>15</v>
      </c>
      <c r="E2" s="401"/>
      <c r="F2" s="349"/>
      <c r="G2" s="61" t="s">
        <v>14</v>
      </c>
      <c r="H2" s="397" t="s">
        <v>15</v>
      </c>
      <c r="I2" s="399"/>
      <c r="J2" s="61"/>
      <c r="K2" s="63" t="s">
        <v>14</v>
      </c>
      <c r="L2" s="397" t="s">
        <v>15</v>
      </c>
      <c r="M2" s="399"/>
      <c r="N2" s="61"/>
      <c r="O2" s="63" t="s">
        <v>14</v>
      </c>
      <c r="P2" s="397" t="s">
        <v>15</v>
      </c>
      <c r="Q2" s="399"/>
      <c r="R2" s="61"/>
      <c r="S2" s="63" t="s">
        <v>14</v>
      </c>
      <c r="T2" s="397" t="s">
        <v>15</v>
      </c>
      <c r="U2" s="399"/>
      <c r="V2" s="61"/>
      <c r="W2" s="63" t="s">
        <v>14</v>
      </c>
      <c r="X2" s="397" t="s">
        <v>15</v>
      </c>
      <c r="Y2" s="399"/>
      <c r="Z2" s="61"/>
      <c r="AA2" s="63" t="s">
        <v>14</v>
      </c>
      <c r="AB2" s="397" t="s">
        <v>15</v>
      </c>
      <c r="AC2" s="399"/>
      <c r="AD2" s="61"/>
      <c r="AE2" s="63" t="s">
        <v>14</v>
      </c>
      <c r="AF2" s="397" t="s">
        <v>15</v>
      </c>
      <c r="AG2" s="399"/>
      <c r="AH2" s="61"/>
      <c r="AI2" s="63" t="s">
        <v>14</v>
      </c>
      <c r="AJ2" s="397" t="s">
        <v>15</v>
      </c>
      <c r="AK2" s="399"/>
      <c r="AL2" s="61"/>
      <c r="AM2" s="63" t="s">
        <v>14</v>
      </c>
      <c r="AN2" s="397" t="s">
        <v>15</v>
      </c>
      <c r="AO2" s="399"/>
      <c r="AP2" s="61"/>
      <c r="AQ2" s="63" t="s">
        <v>14</v>
      </c>
      <c r="AR2" s="397" t="s">
        <v>15</v>
      </c>
      <c r="AS2" s="399"/>
      <c r="AT2" s="61"/>
      <c r="AU2" s="63" t="s">
        <v>14</v>
      </c>
      <c r="AV2" s="397" t="s">
        <v>15</v>
      </c>
      <c r="AW2" s="399"/>
      <c r="AX2" s="63" t="s">
        <v>14</v>
      </c>
      <c r="AY2" s="397" t="s">
        <v>15</v>
      </c>
      <c r="AZ2" s="399"/>
    </row>
    <row r="3" spans="1:53" ht="15.6" x14ac:dyDescent="0.3">
      <c r="A3" s="64"/>
      <c r="B3" s="65"/>
      <c r="C3" s="60"/>
      <c r="D3" s="60" t="s">
        <v>70</v>
      </c>
      <c r="E3" s="60" t="s">
        <v>71</v>
      </c>
      <c r="F3" s="349"/>
      <c r="G3" s="61"/>
      <c r="H3" s="63" t="s">
        <v>70</v>
      </c>
      <c r="I3" s="63" t="s">
        <v>71</v>
      </c>
      <c r="J3" s="63"/>
      <c r="K3" s="63"/>
      <c r="L3" s="63" t="s">
        <v>70</v>
      </c>
      <c r="M3" s="63" t="s">
        <v>71</v>
      </c>
      <c r="N3" s="63"/>
      <c r="O3" s="63"/>
      <c r="P3" s="63" t="s">
        <v>70</v>
      </c>
      <c r="Q3" s="63" t="s">
        <v>71</v>
      </c>
      <c r="R3" s="61"/>
      <c r="S3" s="61"/>
      <c r="T3" s="63" t="s">
        <v>70</v>
      </c>
      <c r="U3" s="63" t="s">
        <v>71</v>
      </c>
      <c r="V3" s="63"/>
      <c r="W3" s="63"/>
      <c r="X3" s="63" t="s">
        <v>70</v>
      </c>
      <c r="Y3" s="63" t="s">
        <v>71</v>
      </c>
      <c r="Z3" s="63"/>
      <c r="AA3" s="63"/>
      <c r="AB3" s="63" t="s">
        <v>70</v>
      </c>
      <c r="AC3" s="63" t="s">
        <v>71</v>
      </c>
      <c r="AD3" s="63"/>
      <c r="AE3" s="63"/>
      <c r="AF3" s="63" t="s">
        <v>70</v>
      </c>
      <c r="AG3" s="63" t="s">
        <v>71</v>
      </c>
      <c r="AH3" s="63"/>
      <c r="AI3" s="63"/>
      <c r="AJ3" s="63" t="s">
        <v>70</v>
      </c>
      <c r="AK3" s="63" t="s">
        <v>71</v>
      </c>
      <c r="AL3" s="63"/>
      <c r="AM3" s="63"/>
      <c r="AN3" s="63" t="s">
        <v>70</v>
      </c>
      <c r="AO3" s="63" t="s">
        <v>71</v>
      </c>
      <c r="AP3" s="63"/>
      <c r="AQ3" s="63"/>
      <c r="AR3" s="63" t="s">
        <v>70</v>
      </c>
      <c r="AS3" s="63" t="s">
        <v>71</v>
      </c>
      <c r="AT3" s="349"/>
      <c r="AU3" s="60"/>
      <c r="AV3" s="63" t="s">
        <v>70</v>
      </c>
      <c r="AW3" s="63" t="s">
        <v>71</v>
      </c>
      <c r="AX3" s="60"/>
      <c r="AY3" s="60" t="s">
        <v>70</v>
      </c>
      <c r="AZ3" s="60" t="s">
        <v>71</v>
      </c>
    </row>
    <row r="4" spans="1:53" ht="15.6" x14ac:dyDescent="0.3">
      <c r="A4" s="66">
        <v>1</v>
      </c>
      <c r="B4" s="67" t="s">
        <v>20</v>
      </c>
      <c r="C4" s="68"/>
      <c r="D4" s="68"/>
      <c r="E4" s="68"/>
      <c r="F4" s="350"/>
      <c r="G4" s="69"/>
      <c r="H4" s="70"/>
      <c r="I4" s="70"/>
      <c r="J4" s="70"/>
      <c r="K4" s="70">
        <v>2.6019999999999999</v>
      </c>
      <c r="L4" s="70">
        <v>25.542000000000002</v>
      </c>
      <c r="M4" s="70"/>
      <c r="N4" s="70"/>
      <c r="O4" s="70"/>
      <c r="P4" s="71"/>
      <c r="Q4" s="65"/>
      <c r="R4" s="351"/>
      <c r="S4" s="69"/>
      <c r="T4" s="72"/>
      <c r="U4" s="70"/>
      <c r="V4" s="70"/>
      <c r="W4" s="70">
        <v>2.7090000000000001</v>
      </c>
      <c r="X4" s="70">
        <v>15.128</v>
      </c>
      <c r="Y4" s="70"/>
      <c r="Z4" s="70"/>
      <c r="AA4" s="70">
        <v>6.9660000000000002</v>
      </c>
      <c r="AB4" s="70">
        <v>66.543999999999997</v>
      </c>
      <c r="AC4" s="70"/>
      <c r="AD4" s="70"/>
      <c r="AE4" s="70"/>
      <c r="AF4" s="70"/>
      <c r="AG4" s="70"/>
      <c r="AH4" s="70"/>
      <c r="AI4" s="70">
        <v>0.47699999999999998</v>
      </c>
      <c r="AJ4" s="70">
        <v>2.871</v>
      </c>
      <c r="AK4" s="70"/>
      <c r="AL4" s="70"/>
      <c r="AM4" s="70">
        <v>1.617</v>
      </c>
      <c r="AN4" s="70">
        <v>18.524999999999999</v>
      </c>
      <c r="AO4" s="70"/>
      <c r="AP4" s="70"/>
      <c r="AQ4" s="70"/>
      <c r="AR4" s="70"/>
      <c r="AS4" s="70"/>
      <c r="AT4" s="73"/>
      <c r="AU4" s="73">
        <v>3.883</v>
      </c>
      <c r="AV4" s="73">
        <v>18.672000000000001</v>
      </c>
      <c r="AW4" s="74"/>
      <c r="AX4" s="75">
        <f t="shared" ref="AX4:AX32" si="0">C4+G4+K4+O4+S4+W4+AA4+AE4+AI4+AM4+AQ4+AU4</f>
        <v>18.254000000000001</v>
      </c>
      <c r="AY4" s="75">
        <f t="shared" ref="AY4:AY32" si="1">D4+H4+L4+P4+T4+X4+AB4+AF4+AJ4+AN4+AR4+AV4</f>
        <v>147.28199999999998</v>
      </c>
      <c r="AZ4" s="75">
        <f t="shared" ref="AZ4:AZ32" si="2">E4+I4+M4+Q4+U4+Y4+AC4+AG4+AK4+AO4+AS4+AW4</f>
        <v>0</v>
      </c>
      <c r="BA4">
        <f>(AZ4+AY4)/AX4</f>
        <v>8.0684781417771436</v>
      </c>
    </row>
    <row r="5" spans="1:53" ht="15.6" x14ac:dyDescent="0.3">
      <c r="A5" s="66">
        <v>2</v>
      </c>
      <c r="B5" s="76" t="s">
        <v>64</v>
      </c>
      <c r="C5" s="64">
        <v>3.5999999999999999E-3</v>
      </c>
      <c r="D5" s="64"/>
      <c r="E5" s="64">
        <f>3.88/180</f>
        <v>2.1555555555555553E-2</v>
      </c>
      <c r="F5" s="77"/>
      <c r="G5" s="77"/>
      <c r="H5" s="64"/>
      <c r="I5" s="64"/>
      <c r="J5" s="64"/>
      <c r="K5" s="64"/>
      <c r="L5" s="64"/>
      <c r="M5" s="64"/>
      <c r="N5" s="64"/>
      <c r="O5" s="64">
        <v>3.5500000000000002E-3</v>
      </c>
      <c r="P5" s="64"/>
      <c r="Q5" s="64">
        <f>3.5/175</f>
        <v>0.02</v>
      </c>
      <c r="R5" s="64"/>
      <c r="S5" s="64"/>
      <c r="T5" s="64"/>
      <c r="U5" s="64"/>
      <c r="V5" s="64"/>
      <c r="W5" s="64"/>
      <c r="X5" s="64"/>
      <c r="Y5" s="64"/>
      <c r="Z5" s="64"/>
      <c r="AA5" s="64">
        <v>4.4000000000000003E-3</v>
      </c>
      <c r="AB5" s="64">
        <v>4.0000000000000001E-3</v>
      </c>
      <c r="AC5" s="64"/>
      <c r="AD5" s="64"/>
      <c r="AE5" s="64"/>
      <c r="AF5" s="64"/>
      <c r="AG5" s="64"/>
      <c r="AH5" s="64"/>
      <c r="AI5" s="64">
        <v>4.4999999999999997E-3</v>
      </c>
      <c r="AJ5" s="64"/>
      <c r="AK5" s="64">
        <f>5.2/180</f>
        <v>2.8888888888888891E-2</v>
      </c>
      <c r="AL5" s="64"/>
      <c r="AM5" s="64"/>
      <c r="AN5" s="64"/>
      <c r="AO5" s="64"/>
      <c r="AP5" s="64"/>
      <c r="AQ5" s="64"/>
      <c r="AR5" s="64"/>
      <c r="AS5" s="64"/>
      <c r="AT5" s="64"/>
      <c r="AU5" s="64">
        <f>0.00661+0.0003+0.0006</f>
        <v>7.5100000000000002E-3</v>
      </c>
      <c r="AV5" s="64">
        <f>0.00459+0.002+0.0005</f>
        <v>7.0900000000000008E-3</v>
      </c>
      <c r="AW5" s="64"/>
      <c r="AX5" s="75">
        <f t="shared" si="0"/>
        <v>2.3560000000000001E-2</v>
      </c>
      <c r="AY5" s="75">
        <f t="shared" si="1"/>
        <v>1.1090000000000001E-2</v>
      </c>
      <c r="AZ5" s="75">
        <f t="shared" si="2"/>
        <v>7.0444444444444448E-2</v>
      </c>
      <c r="BA5">
        <f t="shared" ref="BA5:BA32" si="3">(AZ5+AY5)/AX5</f>
        <v>3.4607149594416149</v>
      </c>
    </row>
    <row r="6" spans="1:53" ht="15.6" x14ac:dyDescent="0.3">
      <c r="A6" s="78">
        <v>3</v>
      </c>
      <c r="B6" s="79" t="s">
        <v>22</v>
      </c>
      <c r="C6" s="73">
        <v>0.125</v>
      </c>
      <c r="D6" s="73">
        <v>0.86499999999999999</v>
      </c>
      <c r="E6" s="73">
        <v>1.1777777777777778</v>
      </c>
      <c r="F6" s="73"/>
      <c r="G6" s="70">
        <v>0.185</v>
      </c>
      <c r="H6" s="70">
        <v>1.2609999999999999</v>
      </c>
      <c r="I6" s="70">
        <v>1.4952380952380953</v>
      </c>
      <c r="J6" s="70"/>
      <c r="K6" s="70">
        <v>0.245</v>
      </c>
      <c r="L6" s="70">
        <v>1.657</v>
      </c>
      <c r="M6" s="70">
        <v>2.3111111111111109</v>
      </c>
      <c r="N6" s="70"/>
      <c r="O6" s="70">
        <v>0.76500000000000001</v>
      </c>
      <c r="P6" s="71">
        <v>4.9930000000000003</v>
      </c>
      <c r="Q6" s="65">
        <v>7.4285714285714288</v>
      </c>
      <c r="R6" s="351"/>
      <c r="S6" s="69">
        <v>0.42499999999999999</v>
      </c>
      <c r="T6" s="72">
        <v>2.8450000000000002</v>
      </c>
      <c r="U6" s="70">
        <v>9.0250000000000004</v>
      </c>
      <c r="V6" s="70"/>
      <c r="W6" s="70">
        <v>0.26500000000000001</v>
      </c>
      <c r="X6" s="70">
        <v>1.7889999999999999</v>
      </c>
      <c r="Y6" s="70">
        <v>2.5</v>
      </c>
      <c r="Z6" s="70"/>
      <c r="AA6" s="70">
        <v>0.60499999999999998</v>
      </c>
      <c r="AB6" s="70">
        <v>4.0330000000000004</v>
      </c>
      <c r="AC6" s="70">
        <v>5.7111111111111112</v>
      </c>
      <c r="AD6" s="70"/>
      <c r="AE6" s="70">
        <v>0.72499999999999998</v>
      </c>
      <c r="AF6" s="70">
        <v>4.8250000000000002</v>
      </c>
      <c r="AG6" s="70">
        <v>5.2649572649572644E-2</v>
      </c>
      <c r="AH6" s="70"/>
      <c r="AI6" s="70">
        <v>0.40500000000000003</v>
      </c>
      <c r="AJ6" s="70">
        <v>2.7130000000000001</v>
      </c>
      <c r="AK6" s="70">
        <v>5.2923076923076922</v>
      </c>
      <c r="AL6" s="70"/>
      <c r="AM6" s="70">
        <v>0.34</v>
      </c>
      <c r="AN6" s="70">
        <v>2.2879999999999998</v>
      </c>
      <c r="AO6" s="70">
        <v>3.2111111111111112</v>
      </c>
      <c r="AP6" s="70"/>
      <c r="AQ6" s="70"/>
      <c r="AR6" s="70"/>
      <c r="AS6" s="70"/>
      <c r="AT6" s="70"/>
      <c r="AU6" s="70">
        <v>0.96499999999999997</v>
      </c>
      <c r="AV6" s="70">
        <v>6.4089999999999998</v>
      </c>
      <c r="AW6" s="68">
        <v>8.3888888888888893</v>
      </c>
      <c r="AX6" s="75">
        <f t="shared" si="0"/>
        <v>5.05</v>
      </c>
      <c r="AY6" s="75">
        <f t="shared" si="1"/>
        <v>33.678000000000004</v>
      </c>
      <c r="AZ6" s="75">
        <f t="shared" si="2"/>
        <v>46.593766788766786</v>
      </c>
      <c r="BA6">
        <f t="shared" si="3"/>
        <v>15.895399364112238</v>
      </c>
    </row>
    <row r="7" spans="1:53" ht="15.6" x14ac:dyDescent="0.3">
      <c r="A7" s="66">
        <v>4</v>
      </c>
      <c r="B7" s="80" t="s">
        <v>23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>
        <v>0</v>
      </c>
      <c r="N7" s="64"/>
      <c r="O7" s="64"/>
      <c r="P7" s="64"/>
      <c r="Q7" s="64">
        <v>0</v>
      </c>
      <c r="R7" s="64"/>
      <c r="S7" s="64"/>
      <c r="T7" s="64"/>
      <c r="U7" s="64">
        <v>0</v>
      </c>
      <c r="V7" s="64"/>
      <c r="W7" s="64"/>
      <c r="X7" s="64"/>
      <c r="Y7" s="64">
        <v>0</v>
      </c>
      <c r="Z7" s="64"/>
      <c r="AA7" s="64"/>
      <c r="AB7" s="64"/>
      <c r="AC7" s="64">
        <v>0</v>
      </c>
      <c r="AD7" s="64"/>
      <c r="AE7" s="64"/>
      <c r="AF7" s="64"/>
      <c r="AG7" s="64">
        <v>0</v>
      </c>
      <c r="AH7" s="64"/>
      <c r="AI7" s="64"/>
      <c r="AJ7" s="64"/>
      <c r="AK7" s="64">
        <v>0</v>
      </c>
      <c r="AL7" s="64"/>
      <c r="AM7" s="64"/>
      <c r="AN7" s="64"/>
      <c r="AO7" s="64">
        <v>0</v>
      </c>
      <c r="AP7" s="64"/>
      <c r="AQ7" s="64"/>
      <c r="AR7" s="64"/>
      <c r="AS7" s="64"/>
      <c r="AT7" s="64"/>
      <c r="AU7" s="64">
        <f>0.06677+0.5892</f>
        <v>0.65596999999999994</v>
      </c>
      <c r="AV7" s="64">
        <v>7.8775000000000004</v>
      </c>
      <c r="AW7" s="64">
        <v>1.0045E-3</v>
      </c>
      <c r="AX7" s="75">
        <f t="shared" si="0"/>
        <v>0.65596999999999994</v>
      </c>
      <c r="AY7" s="75">
        <f t="shared" si="1"/>
        <v>7.8775000000000004</v>
      </c>
      <c r="AZ7" s="75">
        <f t="shared" si="2"/>
        <v>1.0045E-3</v>
      </c>
      <c r="BA7">
        <f t="shared" si="3"/>
        <v>12.010464655395827</v>
      </c>
    </row>
    <row r="8" spans="1:53" ht="15.6" x14ac:dyDescent="0.3">
      <c r="A8" s="66">
        <v>5</v>
      </c>
      <c r="B8" s="80" t="s">
        <v>57</v>
      </c>
      <c r="C8" s="70"/>
      <c r="D8" s="70"/>
      <c r="E8" s="70"/>
      <c r="F8" s="70"/>
      <c r="G8" s="70"/>
      <c r="H8" s="70"/>
      <c r="I8" s="70"/>
      <c r="J8" s="70"/>
      <c r="K8" s="70">
        <v>0.28299999999999997</v>
      </c>
      <c r="L8" s="70">
        <v>0.878</v>
      </c>
      <c r="M8" s="70"/>
      <c r="N8" s="70"/>
      <c r="O8" s="70"/>
      <c r="P8" s="71"/>
      <c r="Q8" s="65">
        <v>0</v>
      </c>
      <c r="R8" s="351"/>
      <c r="S8" s="69">
        <v>1.875</v>
      </c>
      <c r="T8" s="72"/>
      <c r="U8" s="70">
        <f>2006/80</f>
        <v>25.074999999999999</v>
      </c>
      <c r="V8" s="70"/>
      <c r="W8" s="70">
        <v>4.7E-2</v>
      </c>
      <c r="X8" s="70">
        <v>7.8E-2</v>
      </c>
      <c r="Y8" s="70">
        <v>0</v>
      </c>
      <c r="Z8" s="70"/>
      <c r="AA8" s="70">
        <v>4.4189999999999996</v>
      </c>
      <c r="AB8" s="70">
        <v>30.501999999999999</v>
      </c>
      <c r="AC8" s="70">
        <v>0</v>
      </c>
      <c r="AD8" s="70"/>
      <c r="AE8" s="70"/>
      <c r="AF8" s="70"/>
      <c r="AG8" s="70">
        <v>0</v>
      </c>
      <c r="AH8" s="70"/>
      <c r="AI8" s="70">
        <v>0.92100000000000004</v>
      </c>
      <c r="AJ8" s="70"/>
      <c r="AK8" s="70">
        <v>37.9</v>
      </c>
      <c r="AL8" s="70"/>
      <c r="AM8" s="70">
        <v>1.5009999999999999</v>
      </c>
      <c r="AN8" s="70">
        <v>5.407</v>
      </c>
      <c r="AO8" s="70">
        <v>0</v>
      </c>
      <c r="AP8" s="70"/>
      <c r="AQ8" s="70"/>
      <c r="AR8" s="70"/>
      <c r="AS8" s="70"/>
      <c r="AT8" s="70"/>
      <c r="AU8" s="70">
        <v>2.3809999999999998</v>
      </c>
      <c r="AV8" s="70">
        <v>6.3310000000000004</v>
      </c>
      <c r="AW8" s="68">
        <v>0</v>
      </c>
      <c r="AX8" s="75">
        <f t="shared" si="0"/>
        <v>11.427</v>
      </c>
      <c r="AY8" s="75">
        <f t="shared" si="1"/>
        <v>43.195999999999998</v>
      </c>
      <c r="AZ8" s="75">
        <f t="shared" si="2"/>
        <v>62.974999999999994</v>
      </c>
      <c r="BA8">
        <f t="shared" si="3"/>
        <v>9.2912400455062567</v>
      </c>
    </row>
    <row r="9" spans="1:53" ht="15.6" x14ac:dyDescent="0.3">
      <c r="A9" s="66">
        <v>6</v>
      </c>
      <c r="B9" s="80" t="s">
        <v>29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1"/>
      <c r="Q9" s="65"/>
      <c r="R9" s="351"/>
      <c r="S9" s="69"/>
      <c r="T9" s="72"/>
      <c r="U9" s="70"/>
      <c r="V9" s="70"/>
      <c r="W9" s="70"/>
      <c r="X9" s="70"/>
      <c r="Y9" s="70"/>
      <c r="Z9" s="70"/>
      <c r="AA9" s="70">
        <v>8.5</v>
      </c>
      <c r="AB9" s="70">
        <v>81.704939999999993</v>
      </c>
      <c r="AC9" s="70"/>
      <c r="AD9" s="70"/>
      <c r="AE9" s="70"/>
      <c r="AF9" s="70"/>
      <c r="AG9" s="70"/>
      <c r="AH9" s="70"/>
      <c r="AI9" s="70">
        <v>4.282</v>
      </c>
      <c r="AJ9" s="70">
        <v>39.103520000000003</v>
      </c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>
        <f>0.826+3.666+2.224</f>
        <v>6.7160000000000002</v>
      </c>
      <c r="AV9" s="70">
        <f>7.38358+36.4513+19.51688</f>
        <v>63.351760000000006</v>
      </c>
      <c r="AW9" s="68"/>
      <c r="AX9" s="75">
        <f t="shared" si="0"/>
        <v>19.498000000000001</v>
      </c>
      <c r="AY9" s="75">
        <f t="shared" si="1"/>
        <v>184.16022000000001</v>
      </c>
      <c r="AZ9" s="75">
        <f t="shared" si="2"/>
        <v>0</v>
      </c>
      <c r="BA9">
        <f t="shared" si="3"/>
        <v>9.445082572571545</v>
      </c>
    </row>
    <row r="10" spans="1:53" ht="15.6" x14ac:dyDescent="0.3">
      <c r="A10" s="66">
        <v>7</v>
      </c>
      <c r="B10" s="80" t="s">
        <v>30</v>
      </c>
      <c r="C10" s="70"/>
      <c r="D10" s="70"/>
      <c r="E10" s="70"/>
      <c r="F10" s="70"/>
      <c r="G10" s="70"/>
      <c r="H10" s="70"/>
      <c r="I10" s="70"/>
      <c r="J10" s="70"/>
      <c r="K10" s="70">
        <v>4.1000000000000002E-2</v>
      </c>
      <c r="L10" s="70">
        <v>0.05</v>
      </c>
      <c r="M10" s="70">
        <f>36/180</f>
        <v>0.2</v>
      </c>
      <c r="N10" s="70"/>
      <c r="O10" s="70"/>
      <c r="P10" s="71"/>
      <c r="Q10" s="65"/>
      <c r="R10" s="351"/>
      <c r="S10" s="69">
        <v>0.183</v>
      </c>
      <c r="T10" s="72"/>
      <c r="U10" s="70">
        <f>245/80</f>
        <v>3.0625</v>
      </c>
      <c r="V10" s="70"/>
      <c r="W10" s="70"/>
      <c r="X10" s="70"/>
      <c r="Y10" s="70"/>
      <c r="Z10" s="70"/>
      <c r="AA10" s="70">
        <v>5.5019999999999998</v>
      </c>
      <c r="AB10" s="70">
        <v>61.83</v>
      </c>
      <c r="AC10" s="70"/>
      <c r="AD10" s="70"/>
      <c r="AE10" s="70"/>
      <c r="AF10" s="70"/>
      <c r="AG10" s="70"/>
      <c r="AH10" s="70"/>
      <c r="AI10" s="70">
        <v>0.191</v>
      </c>
      <c r="AJ10" s="70">
        <v>1.0269999999999999</v>
      </c>
      <c r="AK10" s="70">
        <f>186/130</f>
        <v>1.4307692307692308</v>
      </c>
      <c r="AL10" s="70"/>
      <c r="AM10" s="70">
        <v>3.5000000000000003E-2</v>
      </c>
      <c r="AN10" s="70"/>
      <c r="AO10" s="70">
        <f>57/180</f>
        <v>0.31666666666666665</v>
      </c>
      <c r="AP10" s="70"/>
      <c r="AQ10" s="70"/>
      <c r="AR10" s="70"/>
      <c r="AS10" s="70"/>
      <c r="AT10" s="70"/>
      <c r="AU10" s="70">
        <v>6.3E-2</v>
      </c>
      <c r="AV10" s="70">
        <v>0.123</v>
      </c>
      <c r="AW10" s="68">
        <f>69/180</f>
        <v>0.38333333333333336</v>
      </c>
      <c r="AX10" s="75">
        <f t="shared" si="0"/>
        <v>6.0149999999999997</v>
      </c>
      <c r="AY10" s="75">
        <f t="shared" si="1"/>
        <v>63.029999999999994</v>
      </c>
      <c r="AZ10" s="75">
        <f t="shared" si="2"/>
        <v>5.3932692307692314</v>
      </c>
      <c r="BA10">
        <f t="shared" si="3"/>
        <v>11.375439606112922</v>
      </c>
    </row>
    <row r="11" spans="1:53" ht="15.6" x14ac:dyDescent="0.3">
      <c r="A11" s="66">
        <v>8</v>
      </c>
      <c r="B11" s="80" t="s">
        <v>31</v>
      </c>
      <c r="C11" s="70"/>
      <c r="D11" s="70"/>
      <c r="E11" s="70"/>
      <c r="F11" s="70"/>
      <c r="G11" s="70">
        <v>4.3999999999999997E-2</v>
      </c>
      <c r="H11" s="70"/>
      <c r="I11" s="70">
        <f>428/210</f>
        <v>2.038095238095238</v>
      </c>
      <c r="J11" s="70"/>
      <c r="K11" s="70">
        <v>0.27700000000000002</v>
      </c>
      <c r="L11" s="70">
        <v>7.6260000000000003</v>
      </c>
      <c r="M11" s="70">
        <f>689/180</f>
        <v>3.8277777777777779</v>
      </c>
      <c r="N11" s="70"/>
      <c r="O11" s="70">
        <v>4.0000000000000001E-3</v>
      </c>
      <c r="P11" s="71"/>
      <c r="Q11" s="65">
        <f>52/175</f>
        <v>0.29714285714285715</v>
      </c>
      <c r="R11" s="351"/>
      <c r="S11" s="69">
        <v>6.6000000000000003E-2</v>
      </c>
      <c r="T11" s="72"/>
      <c r="U11" s="70">
        <f>125/80</f>
        <v>1.5625</v>
      </c>
      <c r="V11" s="70"/>
      <c r="W11" s="70"/>
      <c r="X11" s="70"/>
      <c r="Y11" s="70">
        <v>0</v>
      </c>
      <c r="Z11" s="70"/>
      <c r="AA11" s="70">
        <v>0.17899999999999999</v>
      </c>
      <c r="AB11" s="70">
        <v>15.773999999999999</v>
      </c>
      <c r="AC11" s="70">
        <v>0</v>
      </c>
      <c r="AD11" s="70"/>
      <c r="AE11" s="70"/>
      <c r="AF11" s="70"/>
      <c r="AG11" s="70">
        <v>0</v>
      </c>
      <c r="AH11" s="70"/>
      <c r="AI11" s="70">
        <v>3.5999999999999997E-2</v>
      </c>
      <c r="AJ11" s="70"/>
      <c r="AK11" s="70">
        <f>267/130</f>
        <v>2.0538461538461537</v>
      </c>
      <c r="AL11" s="70"/>
      <c r="AM11" s="70"/>
      <c r="AN11" s="70"/>
      <c r="AO11" s="70">
        <v>0</v>
      </c>
      <c r="AP11" s="70"/>
      <c r="AQ11" s="70"/>
      <c r="AR11" s="70"/>
      <c r="AS11" s="70"/>
      <c r="AT11" s="70"/>
      <c r="AU11" s="70">
        <v>0.113</v>
      </c>
      <c r="AV11" s="70">
        <v>5.0000000000000001E-4</v>
      </c>
      <c r="AW11" s="68">
        <f>119/180</f>
        <v>0.66111111111111109</v>
      </c>
      <c r="AX11" s="75">
        <f t="shared" si="0"/>
        <v>0.71900000000000008</v>
      </c>
      <c r="AY11" s="75">
        <f t="shared" si="1"/>
        <v>23.400499999999997</v>
      </c>
      <c r="AZ11" s="75">
        <f t="shared" si="2"/>
        <v>10.440473137973138</v>
      </c>
      <c r="BA11">
        <f t="shared" si="3"/>
        <v>47.066722027779043</v>
      </c>
    </row>
    <row r="12" spans="1:53" ht="15.6" x14ac:dyDescent="0.3">
      <c r="A12" s="66">
        <v>9</v>
      </c>
      <c r="B12" s="80" t="s">
        <v>32</v>
      </c>
      <c r="C12" s="70">
        <v>0.16</v>
      </c>
      <c r="D12" s="70"/>
      <c r="E12" s="70">
        <v>0</v>
      </c>
      <c r="F12" s="70"/>
      <c r="G12" s="70">
        <v>2.76</v>
      </c>
      <c r="H12" s="70"/>
      <c r="I12" s="70">
        <f>31.86/210</f>
        <v>0.15171428571428572</v>
      </c>
      <c r="J12" s="70"/>
      <c r="K12" s="70">
        <v>3.78</v>
      </c>
      <c r="L12" s="70">
        <v>2.56</v>
      </c>
      <c r="M12" s="70">
        <f>2.53/180</f>
        <v>1.4055555555555554E-2</v>
      </c>
      <c r="N12" s="70"/>
      <c r="O12" s="70">
        <v>3.0000000000000001E-3</v>
      </c>
      <c r="P12" s="71"/>
      <c r="Q12" s="65">
        <v>0</v>
      </c>
      <c r="R12" s="351"/>
      <c r="S12" s="69">
        <v>3.4000000000000002E-2</v>
      </c>
      <c r="T12" s="72"/>
      <c r="U12" s="70">
        <v>0</v>
      </c>
      <c r="V12" s="70"/>
      <c r="W12" s="70">
        <v>0</v>
      </c>
      <c r="X12" s="70"/>
      <c r="Y12" s="70">
        <f>0.2/180</f>
        <v>1.1111111111111111E-3</v>
      </c>
      <c r="Z12" s="70"/>
      <c r="AA12" s="70">
        <v>0.33100000000000002</v>
      </c>
      <c r="AB12" s="70">
        <v>0.26300000000000001</v>
      </c>
      <c r="AC12" s="70">
        <v>0</v>
      </c>
      <c r="AD12" s="70"/>
      <c r="AE12" s="70"/>
      <c r="AF12" s="70"/>
      <c r="AG12" s="70"/>
      <c r="AH12" s="70"/>
      <c r="AI12" s="70">
        <v>1.9E-2</v>
      </c>
      <c r="AJ12" s="70">
        <v>1.4999999999999999E-2</v>
      </c>
      <c r="AK12" s="70"/>
      <c r="AL12" s="70"/>
      <c r="AM12" s="70">
        <v>0.79</v>
      </c>
      <c r="AN12" s="70">
        <v>0.01</v>
      </c>
      <c r="AO12" s="70">
        <f>3.5/180</f>
        <v>1.9444444444444445E-2</v>
      </c>
      <c r="AP12" s="70"/>
      <c r="AQ12" s="70">
        <v>1.7999999999999999E-2</v>
      </c>
      <c r="AR12" s="70"/>
      <c r="AS12" s="70">
        <f>18.67/180</f>
        <v>0.10372222222222223</v>
      </c>
      <c r="AT12" s="70"/>
      <c r="AU12" s="70">
        <f>17.43+0.47+8.53+1.08+0.85+12.83</f>
        <v>41.19</v>
      </c>
      <c r="AV12" s="70">
        <f>11.04+0.06+0.44+15.02</f>
        <v>26.56</v>
      </c>
      <c r="AW12" s="68">
        <f>18.18/180</f>
        <v>0.10099999999999999</v>
      </c>
      <c r="AX12" s="75">
        <f t="shared" si="0"/>
        <v>49.084999999999994</v>
      </c>
      <c r="AY12" s="75">
        <f t="shared" si="1"/>
        <v>29.407999999999998</v>
      </c>
      <c r="AZ12" s="75">
        <f t="shared" si="2"/>
        <v>0.39104761904761903</v>
      </c>
      <c r="BA12">
        <f t="shared" si="3"/>
        <v>0.60709071241820556</v>
      </c>
    </row>
    <row r="13" spans="1:53" ht="15.6" x14ac:dyDescent="0.3">
      <c r="A13" s="66">
        <v>10</v>
      </c>
      <c r="B13" s="80" t="s">
        <v>33</v>
      </c>
      <c r="C13" s="70"/>
      <c r="D13" s="70"/>
      <c r="E13" s="70"/>
      <c r="F13" s="70"/>
      <c r="G13" s="70"/>
      <c r="H13" s="70"/>
      <c r="I13" s="70">
        <v>0</v>
      </c>
      <c r="J13" s="70"/>
      <c r="K13" s="70"/>
      <c r="L13" s="70"/>
      <c r="M13" s="70"/>
      <c r="N13" s="70"/>
      <c r="O13" s="70"/>
      <c r="P13" s="71"/>
      <c r="Q13" s="65">
        <v>0</v>
      </c>
      <c r="R13" s="351"/>
      <c r="S13" s="69"/>
      <c r="T13" s="72"/>
      <c r="U13" s="70">
        <v>0</v>
      </c>
      <c r="V13" s="70"/>
      <c r="W13" s="70"/>
      <c r="X13" s="70"/>
      <c r="Y13" s="70">
        <v>0</v>
      </c>
      <c r="Z13" s="70"/>
      <c r="AA13" s="70"/>
      <c r="AB13" s="70"/>
      <c r="AC13" s="70">
        <v>0</v>
      </c>
      <c r="AD13" s="70"/>
      <c r="AE13" s="70"/>
      <c r="AF13" s="70"/>
      <c r="AG13" s="70">
        <v>0</v>
      </c>
      <c r="AH13" s="70"/>
      <c r="AI13" s="70"/>
      <c r="AJ13" s="70"/>
      <c r="AK13" s="70">
        <v>0</v>
      </c>
      <c r="AL13" s="70"/>
      <c r="AM13" s="70"/>
      <c r="AN13" s="70"/>
      <c r="AO13" s="70">
        <v>0</v>
      </c>
      <c r="AP13" s="70"/>
      <c r="AQ13" s="70"/>
      <c r="AR13" s="70"/>
      <c r="AS13" s="70"/>
      <c r="AT13" s="70"/>
      <c r="AU13" s="70">
        <v>0.315</v>
      </c>
      <c r="AV13" s="70">
        <v>1.528</v>
      </c>
      <c r="AW13" s="68">
        <v>14.876555555555557</v>
      </c>
      <c r="AX13" s="75">
        <f t="shared" si="0"/>
        <v>0.315</v>
      </c>
      <c r="AY13" s="75">
        <f t="shared" si="1"/>
        <v>1.528</v>
      </c>
      <c r="AZ13" s="75">
        <f t="shared" si="2"/>
        <v>14.876555555555557</v>
      </c>
      <c r="BA13">
        <f t="shared" si="3"/>
        <v>52.077954144620819</v>
      </c>
    </row>
    <row r="14" spans="1:53" ht="15.6" x14ac:dyDescent="0.3">
      <c r="A14" s="66">
        <v>11</v>
      </c>
      <c r="B14" s="80" t="s">
        <v>34</v>
      </c>
      <c r="C14" s="70">
        <v>1.2999999999999999E-2</v>
      </c>
      <c r="D14" s="70"/>
      <c r="E14" s="70">
        <f>10/180</f>
        <v>5.5555555555555552E-2</v>
      </c>
      <c r="F14" s="70"/>
      <c r="G14" s="70">
        <v>1.4E-2</v>
      </c>
      <c r="H14" s="70"/>
      <c r="I14" s="70">
        <f>64/210</f>
        <v>0.30476190476190479</v>
      </c>
      <c r="J14" s="70"/>
      <c r="K14" s="70">
        <v>5.4139999999999997</v>
      </c>
      <c r="L14" s="70">
        <v>58.234999999999999</v>
      </c>
      <c r="M14" s="70"/>
      <c r="N14" s="70"/>
      <c r="O14" s="70">
        <v>9.6000000000000002E-2</v>
      </c>
      <c r="P14" s="71"/>
      <c r="Q14" s="65">
        <f>414/175</f>
        <v>2.3657142857142857</v>
      </c>
      <c r="R14" s="351"/>
      <c r="S14" s="69">
        <v>0.22900000000000001</v>
      </c>
      <c r="T14" s="72"/>
      <c r="U14" s="70">
        <v>7.1</v>
      </c>
      <c r="V14" s="70"/>
      <c r="W14" s="70">
        <v>5.7610000000000001</v>
      </c>
      <c r="X14" s="70">
        <v>36.915999999999997</v>
      </c>
      <c r="Y14" s="70"/>
      <c r="Z14" s="70"/>
      <c r="AA14" s="70">
        <v>10.285</v>
      </c>
      <c r="AB14" s="70">
        <v>87.340999999999994</v>
      </c>
      <c r="AC14" s="70"/>
      <c r="AD14" s="70"/>
      <c r="AE14" s="70"/>
      <c r="AF14" s="70"/>
      <c r="AG14" s="70"/>
      <c r="AH14" s="70"/>
      <c r="AI14" s="70">
        <v>2.7970000000000002</v>
      </c>
      <c r="AJ14" s="70">
        <v>0.59499999999999997</v>
      </c>
      <c r="AK14" s="70">
        <f>6516/130</f>
        <v>50.123076923076923</v>
      </c>
      <c r="AL14" s="70"/>
      <c r="AM14" s="70">
        <v>2.1930000000000001</v>
      </c>
      <c r="AN14" s="70">
        <v>17.425999999999998</v>
      </c>
      <c r="AO14" s="70">
        <f>668/180</f>
        <v>3.7111111111111112</v>
      </c>
      <c r="AP14" s="70"/>
      <c r="AQ14" s="70"/>
      <c r="AR14" s="70"/>
      <c r="AS14" s="70"/>
      <c r="AT14" s="70"/>
      <c r="AU14" s="70">
        <v>4.8730000000000002</v>
      </c>
      <c r="AV14" s="70">
        <v>29.948</v>
      </c>
      <c r="AW14" s="68">
        <f>95/180</f>
        <v>0.52777777777777779</v>
      </c>
      <c r="AX14" s="75">
        <f t="shared" si="0"/>
        <v>31.675000000000004</v>
      </c>
      <c r="AY14" s="75">
        <f t="shared" si="1"/>
        <v>230.46099999999998</v>
      </c>
      <c r="AZ14" s="75">
        <f t="shared" si="2"/>
        <v>64.187997557997548</v>
      </c>
      <c r="BA14">
        <f t="shared" si="3"/>
        <v>9.3022572236147578</v>
      </c>
    </row>
    <row r="15" spans="1:53" ht="15.6" x14ac:dyDescent="0.3">
      <c r="A15" s="66">
        <v>12</v>
      </c>
      <c r="B15" s="80" t="s">
        <v>35</v>
      </c>
      <c r="C15" s="70"/>
      <c r="D15" s="70"/>
      <c r="E15" s="70"/>
      <c r="F15" s="70"/>
      <c r="G15" s="70"/>
      <c r="H15" s="70"/>
      <c r="I15" s="70">
        <v>0</v>
      </c>
      <c r="J15" s="70"/>
      <c r="K15" s="70"/>
      <c r="L15" s="70"/>
      <c r="M15" s="70"/>
      <c r="N15" s="70"/>
      <c r="O15" s="70"/>
      <c r="P15" s="71"/>
      <c r="Q15" s="65">
        <v>0</v>
      </c>
      <c r="R15" s="351"/>
      <c r="S15" s="69"/>
      <c r="T15" s="72"/>
      <c r="U15" s="70">
        <v>0</v>
      </c>
      <c r="V15" s="70"/>
      <c r="W15" s="70"/>
      <c r="X15" s="70"/>
      <c r="Y15" s="70">
        <v>0</v>
      </c>
      <c r="Z15" s="70"/>
      <c r="AA15" s="70"/>
      <c r="AB15" s="70"/>
      <c r="AC15" s="70">
        <v>0</v>
      </c>
      <c r="AD15" s="70"/>
      <c r="AE15" s="70"/>
      <c r="AF15" s="70"/>
      <c r="AG15" s="70">
        <v>0</v>
      </c>
      <c r="AH15" s="70"/>
      <c r="AI15" s="70"/>
      <c r="AJ15" s="70"/>
      <c r="AK15" s="70">
        <v>0</v>
      </c>
      <c r="AL15" s="70"/>
      <c r="AM15" s="70"/>
      <c r="AN15" s="70"/>
      <c r="AO15" s="70">
        <v>0</v>
      </c>
      <c r="AP15" s="70"/>
      <c r="AQ15" s="70"/>
      <c r="AR15" s="70"/>
      <c r="AS15" s="70"/>
      <c r="AT15" s="70"/>
      <c r="AU15" s="70">
        <f>12.7+0.18</f>
        <v>12.879999999999999</v>
      </c>
      <c r="AV15" s="70">
        <v>0.02</v>
      </c>
      <c r="AW15" s="70">
        <f>106.7/180</f>
        <v>0.59277777777777785</v>
      </c>
      <c r="AX15" s="75">
        <f t="shared" si="0"/>
        <v>12.879999999999999</v>
      </c>
      <c r="AY15" s="75">
        <f t="shared" si="1"/>
        <v>0.02</v>
      </c>
      <c r="AZ15" s="75">
        <f t="shared" si="2"/>
        <v>0.59277777777777785</v>
      </c>
      <c r="BA15">
        <f t="shared" si="3"/>
        <v>4.7575914423740519E-2</v>
      </c>
    </row>
    <row r="16" spans="1:53" ht="15.6" x14ac:dyDescent="0.3">
      <c r="A16" s="66">
        <v>13</v>
      </c>
      <c r="B16" s="80" t="s">
        <v>37</v>
      </c>
      <c r="C16" s="70"/>
      <c r="D16" s="70"/>
      <c r="E16" s="70"/>
      <c r="F16" s="70"/>
      <c r="G16" s="70"/>
      <c r="H16" s="70"/>
      <c r="I16" s="70">
        <v>0</v>
      </c>
      <c r="J16" s="70"/>
      <c r="K16" s="70">
        <v>0.88200000000000001</v>
      </c>
      <c r="L16" s="70">
        <v>12</v>
      </c>
      <c r="M16" s="70"/>
      <c r="N16" s="70"/>
      <c r="O16" s="70"/>
      <c r="P16" s="71"/>
      <c r="Q16" s="65"/>
      <c r="R16" s="351"/>
      <c r="S16" s="69">
        <v>2.0190000000000001</v>
      </c>
      <c r="T16" s="72">
        <v>39</v>
      </c>
      <c r="U16" s="70"/>
      <c r="V16" s="70"/>
      <c r="W16" s="70"/>
      <c r="X16" s="70"/>
      <c r="Y16" s="70"/>
      <c r="Z16" s="70"/>
      <c r="AA16" s="70">
        <v>8.5500000000000007</v>
      </c>
      <c r="AB16" s="70">
        <v>94</v>
      </c>
      <c r="AC16" s="70"/>
      <c r="AD16" s="70"/>
      <c r="AE16" s="70"/>
      <c r="AF16" s="70"/>
      <c r="AG16" s="70"/>
      <c r="AH16" s="70"/>
      <c r="AI16" s="70">
        <v>2.4769999999999999</v>
      </c>
      <c r="AJ16" s="70">
        <v>14</v>
      </c>
      <c r="AK16" s="70"/>
      <c r="AL16" s="70"/>
      <c r="AM16" s="70">
        <v>0.27700000000000002</v>
      </c>
      <c r="AN16" s="70">
        <v>1</v>
      </c>
      <c r="AO16" s="70"/>
      <c r="AP16" s="70"/>
      <c r="AQ16" s="70"/>
      <c r="AR16" s="70"/>
      <c r="AS16" s="70"/>
      <c r="AT16" s="70"/>
      <c r="AU16" s="70">
        <v>4.21</v>
      </c>
      <c r="AV16" s="70">
        <v>56</v>
      </c>
      <c r="AW16" s="68"/>
      <c r="AX16" s="75">
        <f t="shared" si="0"/>
        <v>18.414999999999999</v>
      </c>
      <c r="AY16" s="75">
        <f t="shared" si="1"/>
        <v>216</v>
      </c>
      <c r="AZ16" s="75">
        <f t="shared" si="2"/>
        <v>0</v>
      </c>
      <c r="BA16">
        <f t="shared" si="3"/>
        <v>11.729568286722781</v>
      </c>
    </row>
    <row r="17" spans="1:53" ht="15.6" x14ac:dyDescent="0.3">
      <c r="A17" s="66">
        <v>14</v>
      </c>
      <c r="B17" s="80" t="s">
        <v>38</v>
      </c>
      <c r="C17" s="64"/>
      <c r="D17" s="64"/>
      <c r="E17" s="64"/>
      <c r="F17" s="64"/>
      <c r="G17" s="64"/>
      <c r="H17" s="64"/>
      <c r="I17" s="64"/>
      <c r="J17" s="64"/>
      <c r="K17" s="64">
        <v>0.76700000000000002</v>
      </c>
      <c r="L17" s="64">
        <v>5.048</v>
      </c>
      <c r="M17" s="64"/>
      <c r="N17" s="64"/>
      <c r="O17" s="64">
        <v>1.4E-2</v>
      </c>
      <c r="P17" s="64">
        <v>1E-3</v>
      </c>
      <c r="Q17" s="64">
        <v>0.66285714285714281</v>
      </c>
      <c r="R17" s="64"/>
      <c r="S17" s="64">
        <v>0.443</v>
      </c>
      <c r="T17" s="64">
        <v>0.307</v>
      </c>
      <c r="U17" s="64">
        <v>25.976625000000002</v>
      </c>
      <c r="V17" s="64"/>
      <c r="W17" s="64">
        <v>0.64100000000000001</v>
      </c>
      <c r="X17" s="64">
        <v>2.4569999999999999</v>
      </c>
      <c r="Y17" s="64"/>
      <c r="Z17" s="64"/>
      <c r="AA17" s="64">
        <v>6.3179999999999996</v>
      </c>
      <c r="AB17" s="64">
        <v>48.289000000000001</v>
      </c>
      <c r="AC17" s="64"/>
      <c r="AD17" s="64"/>
      <c r="AE17" s="64"/>
      <c r="AF17" s="64"/>
      <c r="AG17" s="64"/>
      <c r="AH17" s="64"/>
      <c r="AI17" s="64">
        <v>1.5580000000000001</v>
      </c>
      <c r="AJ17" s="64">
        <v>2.8839999999999999</v>
      </c>
      <c r="AK17" s="64">
        <f>3610/130</f>
        <v>27.76923076923077</v>
      </c>
      <c r="AL17" s="64"/>
      <c r="AM17" s="64">
        <v>0.217</v>
      </c>
      <c r="AN17" s="64">
        <v>0.39700000000000002</v>
      </c>
      <c r="AO17" s="64">
        <f>982/180</f>
        <v>5.4555555555555557</v>
      </c>
      <c r="AP17" s="64"/>
      <c r="AQ17" s="64"/>
      <c r="AR17" s="64"/>
      <c r="AS17" s="64"/>
      <c r="AT17" s="64"/>
      <c r="AU17" s="64">
        <f>0.005+2.031+0.001</f>
        <v>2.0369999999999999</v>
      </c>
      <c r="AV17" s="64">
        <f>12.223+0.01+0.003</f>
        <v>12.236000000000001</v>
      </c>
      <c r="AW17" s="64">
        <f>24/180</f>
        <v>0.13333333333333333</v>
      </c>
      <c r="AX17" s="75">
        <f t="shared" si="0"/>
        <v>11.995000000000001</v>
      </c>
      <c r="AY17" s="75">
        <f t="shared" si="1"/>
        <v>71.619</v>
      </c>
      <c r="AZ17" s="75">
        <f t="shared" si="2"/>
        <v>59.997601800976803</v>
      </c>
      <c r="BA17">
        <f t="shared" si="3"/>
        <v>10.972622075946378</v>
      </c>
    </row>
    <row r="18" spans="1:53" ht="15.6" x14ac:dyDescent="0.3">
      <c r="A18" s="66">
        <v>15</v>
      </c>
      <c r="B18" s="81" t="s">
        <v>39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>
        <v>8.0000000000000002E-3</v>
      </c>
      <c r="P18" s="71"/>
      <c r="Q18" s="65">
        <f>2/175</f>
        <v>1.1428571428571429E-2</v>
      </c>
      <c r="R18" s="351"/>
      <c r="S18" s="69">
        <v>0.01</v>
      </c>
      <c r="T18" s="72"/>
      <c r="U18" s="70">
        <f>8/80</f>
        <v>0.1</v>
      </c>
      <c r="V18" s="70"/>
      <c r="W18" s="70"/>
      <c r="X18" s="70"/>
      <c r="Y18" s="70"/>
      <c r="Z18" s="70"/>
      <c r="AA18" s="70">
        <v>4.0000000000000001E-3</v>
      </c>
      <c r="AB18" s="70">
        <v>2E-3</v>
      </c>
      <c r="AC18" s="70"/>
      <c r="AD18" s="70"/>
      <c r="AE18" s="70"/>
      <c r="AF18" s="70"/>
      <c r="AG18" s="70"/>
      <c r="AH18" s="70"/>
      <c r="AI18" s="70">
        <v>6.0000000000000001E-3</v>
      </c>
      <c r="AJ18" s="70"/>
      <c r="AK18" s="70">
        <f>2/130</f>
        <v>1.5384615384615385E-2</v>
      </c>
      <c r="AL18" s="70"/>
      <c r="AM18" s="70">
        <v>7.0000000000000001E-3</v>
      </c>
      <c r="AN18" s="70">
        <v>8.0000000000000002E-3</v>
      </c>
      <c r="AO18" s="70">
        <f>4/180</f>
        <v>2.2222222222222223E-2</v>
      </c>
      <c r="AP18" s="70"/>
      <c r="AQ18" s="70"/>
      <c r="AR18" s="70"/>
      <c r="AS18" s="70"/>
      <c r="AT18" s="70"/>
      <c r="AU18" s="70">
        <v>0.13200000000000001</v>
      </c>
      <c r="AV18" s="70">
        <v>5.5E-2</v>
      </c>
      <c r="AW18" s="68"/>
      <c r="AX18" s="75">
        <f t="shared" si="0"/>
        <v>0.16700000000000001</v>
      </c>
      <c r="AY18" s="75">
        <f t="shared" si="1"/>
        <v>6.5000000000000002E-2</v>
      </c>
      <c r="AZ18" s="75">
        <f t="shared" si="2"/>
        <v>0.14903540903540904</v>
      </c>
      <c r="BA18">
        <f t="shared" si="3"/>
        <v>1.2816491559006529</v>
      </c>
    </row>
    <row r="19" spans="1:53" ht="15.6" x14ac:dyDescent="0.3">
      <c r="A19" s="66">
        <v>16</v>
      </c>
      <c r="B19" s="80" t="s">
        <v>40</v>
      </c>
      <c r="C19" s="70">
        <v>2.2499999999999999E-2</v>
      </c>
      <c r="D19" s="70"/>
      <c r="E19" s="70">
        <v>0.73888888888888893</v>
      </c>
      <c r="F19" s="70"/>
      <c r="G19" s="70">
        <v>4.4999999999999997E-3</v>
      </c>
      <c r="H19" s="70"/>
      <c r="I19" s="70">
        <v>0.38333333333333336</v>
      </c>
      <c r="J19" s="70"/>
      <c r="K19" s="70">
        <v>4.4999999999999997E-3</v>
      </c>
      <c r="L19" s="70"/>
      <c r="M19" s="70">
        <v>9.166666666666666E-2</v>
      </c>
      <c r="N19" s="70"/>
      <c r="O19" s="70">
        <v>1.4500000000000001E-2</v>
      </c>
      <c r="P19" s="71"/>
      <c r="Q19" s="65">
        <v>0.9177142857142857</v>
      </c>
      <c r="R19" s="351"/>
      <c r="S19" s="69"/>
      <c r="T19" s="72"/>
      <c r="U19" s="70">
        <v>0</v>
      </c>
      <c r="V19" s="70"/>
      <c r="W19" s="70"/>
      <c r="X19" s="70"/>
      <c r="Y19" s="70">
        <v>0</v>
      </c>
      <c r="Z19" s="70"/>
      <c r="AA19" s="70"/>
      <c r="AB19" s="70"/>
      <c r="AC19" s="70">
        <v>0</v>
      </c>
      <c r="AD19" s="70"/>
      <c r="AE19" s="70">
        <v>1.35E-2</v>
      </c>
      <c r="AF19" s="70"/>
      <c r="AG19" s="70">
        <v>2.7991452991452991E-3</v>
      </c>
      <c r="AH19" s="70"/>
      <c r="AI19" s="70"/>
      <c r="AJ19" s="70"/>
      <c r="AK19" s="70">
        <v>0</v>
      </c>
      <c r="AL19" s="70"/>
      <c r="AM19" s="70"/>
      <c r="AN19" s="70"/>
      <c r="AO19" s="70">
        <v>0</v>
      </c>
      <c r="AP19" s="70"/>
      <c r="AQ19" s="70"/>
      <c r="AR19" s="70"/>
      <c r="AS19" s="70"/>
      <c r="AT19" s="70"/>
      <c r="AU19" s="70"/>
      <c r="AV19" s="70"/>
      <c r="AW19" s="68">
        <v>0</v>
      </c>
      <c r="AX19" s="75">
        <f t="shared" si="0"/>
        <v>5.9499999999999997E-2</v>
      </c>
      <c r="AY19" s="75">
        <f t="shared" si="1"/>
        <v>0</v>
      </c>
      <c r="AZ19" s="75">
        <f t="shared" si="2"/>
        <v>2.1344023199023199</v>
      </c>
      <c r="BA19">
        <f t="shared" si="3"/>
        <v>35.872307897517985</v>
      </c>
    </row>
    <row r="20" spans="1:53" ht="15.6" x14ac:dyDescent="0.3">
      <c r="A20" s="66">
        <v>17</v>
      </c>
      <c r="B20" s="80" t="s">
        <v>41</v>
      </c>
      <c r="C20" s="70">
        <v>0.01</v>
      </c>
      <c r="D20" s="82">
        <v>0.26208999999999999</v>
      </c>
      <c r="E20" s="70"/>
      <c r="F20" s="70"/>
      <c r="G20" s="70">
        <v>0.02</v>
      </c>
      <c r="H20" s="70">
        <v>2.3E-2</v>
      </c>
      <c r="I20" s="70"/>
      <c r="J20" s="70"/>
      <c r="K20" s="70"/>
      <c r="L20" s="70"/>
      <c r="M20" s="70"/>
      <c r="N20" s="70"/>
      <c r="O20" s="70">
        <v>0.02</v>
      </c>
      <c r="P20" s="71">
        <v>0.03</v>
      </c>
      <c r="Q20" s="71"/>
      <c r="R20" s="352"/>
      <c r="S20" s="69">
        <v>0.02</v>
      </c>
      <c r="T20" s="82">
        <v>5.0000000000000001E-4</v>
      </c>
      <c r="U20" s="72"/>
      <c r="V20" s="72"/>
      <c r="W20" s="70"/>
      <c r="X20" s="70"/>
      <c r="Y20" s="70"/>
      <c r="Z20" s="70"/>
      <c r="AA20" s="70"/>
      <c r="AB20" s="70"/>
      <c r="AC20" s="70"/>
      <c r="AD20" s="70"/>
      <c r="AE20" s="70">
        <v>0.04</v>
      </c>
      <c r="AF20" s="82">
        <v>1E-3</v>
      </c>
      <c r="AG20" s="70"/>
      <c r="AH20" s="70"/>
      <c r="AI20" s="70">
        <v>0.02</v>
      </c>
      <c r="AJ20" s="82">
        <v>0.09</v>
      </c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>
        <v>1E-4</v>
      </c>
      <c r="AV20" s="70">
        <v>0.156</v>
      </c>
      <c r="AW20" s="68"/>
      <c r="AX20" s="75">
        <f t="shared" si="0"/>
        <v>0.13009999999999999</v>
      </c>
      <c r="AY20" s="75">
        <f t="shared" si="1"/>
        <v>0.56259000000000003</v>
      </c>
      <c r="AZ20" s="75">
        <f t="shared" si="2"/>
        <v>0</v>
      </c>
      <c r="BA20">
        <f t="shared" si="3"/>
        <v>4.3242890084550352</v>
      </c>
    </row>
    <row r="21" spans="1:53" ht="15.6" x14ac:dyDescent="0.3">
      <c r="A21" s="66">
        <v>18</v>
      </c>
      <c r="B21" s="83" t="s">
        <v>42</v>
      </c>
      <c r="C21" s="70">
        <v>2.1999999999999999E-2</v>
      </c>
      <c r="D21" s="70"/>
      <c r="E21" s="70">
        <f>10.56/180</f>
        <v>5.8666666666666673E-2</v>
      </c>
      <c r="F21" s="70"/>
      <c r="G21" s="70"/>
      <c r="H21" s="70"/>
      <c r="I21" s="70">
        <v>0</v>
      </c>
      <c r="J21" s="70"/>
      <c r="K21" s="70"/>
      <c r="L21" s="70"/>
      <c r="M21" s="70"/>
      <c r="N21" s="70"/>
      <c r="O21" s="70">
        <v>1.4E-2</v>
      </c>
      <c r="P21" s="71"/>
      <c r="Q21" s="65">
        <v>3.5851428571428569E-2</v>
      </c>
      <c r="R21" s="351"/>
      <c r="S21" s="69"/>
      <c r="T21" s="72"/>
      <c r="U21" s="70">
        <v>0</v>
      </c>
      <c r="V21" s="70"/>
      <c r="W21" s="70"/>
      <c r="X21" s="70"/>
      <c r="Y21" s="70">
        <v>0</v>
      </c>
      <c r="Z21" s="70"/>
      <c r="AA21" s="70"/>
      <c r="AB21" s="70"/>
      <c r="AC21" s="70">
        <v>0</v>
      </c>
      <c r="AD21" s="70"/>
      <c r="AE21" s="70">
        <v>5.1999999999999998E-3</v>
      </c>
      <c r="AF21" s="70"/>
      <c r="AG21" s="70">
        <v>1.2773029439696105E-6</v>
      </c>
      <c r="AH21" s="70"/>
      <c r="AI21" s="70">
        <v>3.4199999999999999E-3</v>
      </c>
      <c r="AJ21" s="70"/>
      <c r="AK21" s="70">
        <v>0.38107692307692309</v>
      </c>
      <c r="AL21" s="70"/>
      <c r="AM21" s="70"/>
      <c r="AN21" s="70"/>
      <c r="AO21" s="70">
        <v>0</v>
      </c>
      <c r="AP21" s="70"/>
      <c r="AQ21" s="70"/>
      <c r="AR21" s="70"/>
      <c r="AS21" s="70"/>
      <c r="AT21" s="70"/>
      <c r="AU21" s="70">
        <f>0.013878+0.006015+0.0052</f>
        <v>2.5093000000000001E-2</v>
      </c>
      <c r="AV21" s="70">
        <f>0.142+0.745028</f>
        <v>0.88702800000000004</v>
      </c>
      <c r="AW21" s="68">
        <v>0.11766666666666667</v>
      </c>
      <c r="AX21" s="75">
        <f t="shared" si="0"/>
        <v>6.9712999999999997E-2</v>
      </c>
      <c r="AY21" s="75">
        <f t="shared" si="1"/>
        <v>0.88702800000000004</v>
      </c>
      <c r="AZ21" s="75">
        <f t="shared" si="2"/>
        <v>0.59326296228462894</v>
      </c>
      <c r="BA21">
        <f t="shared" si="3"/>
        <v>21.234073448060318</v>
      </c>
    </row>
    <row r="22" spans="1:53" ht="15.6" x14ac:dyDescent="0.3">
      <c r="A22" s="66">
        <v>19</v>
      </c>
      <c r="B22" s="80" t="s">
        <v>43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>
        <v>6.5582000000000003</v>
      </c>
      <c r="AV22" s="64">
        <v>24.781890000000001</v>
      </c>
      <c r="AW22" s="64">
        <f>5294.88/180</f>
        <v>29.416</v>
      </c>
      <c r="AX22" s="75">
        <f t="shared" si="0"/>
        <v>6.5582000000000003</v>
      </c>
      <c r="AY22" s="75">
        <f t="shared" si="1"/>
        <v>24.781890000000001</v>
      </c>
      <c r="AZ22" s="75">
        <f t="shared" si="2"/>
        <v>29.416</v>
      </c>
      <c r="BA22">
        <f t="shared" si="3"/>
        <v>8.2641410752950506</v>
      </c>
    </row>
    <row r="23" spans="1:53" ht="15.6" x14ac:dyDescent="0.3">
      <c r="A23" s="66">
        <v>20</v>
      </c>
      <c r="B23" s="80" t="s">
        <v>45</v>
      </c>
      <c r="C23" s="70"/>
      <c r="D23" s="70"/>
      <c r="E23" s="70"/>
      <c r="F23" s="70"/>
      <c r="G23" s="70"/>
      <c r="H23" s="70"/>
      <c r="I23" s="70">
        <v>0</v>
      </c>
      <c r="J23" s="70"/>
      <c r="K23" s="70"/>
      <c r="L23" s="70"/>
      <c r="M23" s="70"/>
      <c r="N23" s="70"/>
      <c r="O23" s="70"/>
      <c r="P23" s="71"/>
      <c r="Q23" s="65">
        <v>0</v>
      </c>
      <c r="R23" s="351"/>
      <c r="S23" s="69"/>
      <c r="T23" s="72"/>
      <c r="U23" s="70">
        <v>0</v>
      </c>
      <c r="V23" s="70"/>
      <c r="W23" s="70"/>
      <c r="X23" s="70"/>
      <c r="Y23" s="70">
        <v>0</v>
      </c>
      <c r="Z23" s="70"/>
      <c r="AA23" s="70"/>
      <c r="AB23" s="70"/>
      <c r="AC23" s="70">
        <v>0</v>
      </c>
      <c r="AD23" s="70"/>
      <c r="AE23" s="70"/>
      <c r="AF23" s="70"/>
      <c r="AG23" s="70">
        <v>0</v>
      </c>
      <c r="AH23" s="70"/>
      <c r="AI23" s="70"/>
      <c r="AJ23" s="70"/>
      <c r="AK23" s="70">
        <v>0</v>
      </c>
      <c r="AL23" s="70"/>
      <c r="AM23" s="70"/>
      <c r="AN23" s="70"/>
      <c r="AO23" s="70">
        <v>0</v>
      </c>
      <c r="AP23" s="70"/>
      <c r="AQ23" s="70"/>
      <c r="AR23" s="70"/>
      <c r="AS23" s="70"/>
      <c r="AT23" s="70"/>
      <c r="AU23" s="70">
        <v>2</v>
      </c>
      <c r="AV23" s="70">
        <v>12.46</v>
      </c>
      <c r="AW23" s="68">
        <v>0</v>
      </c>
      <c r="AX23" s="75">
        <f t="shared" si="0"/>
        <v>2</v>
      </c>
      <c r="AY23" s="75">
        <f t="shared" si="1"/>
        <v>12.46</v>
      </c>
      <c r="AZ23" s="75">
        <f t="shared" si="2"/>
        <v>0</v>
      </c>
      <c r="BA23">
        <f t="shared" si="3"/>
        <v>6.23</v>
      </c>
    </row>
    <row r="24" spans="1:53" ht="15.6" x14ac:dyDescent="0.3">
      <c r="A24" s="66">
        <v>21</v>
      </c>
      <c r="B24" s="80" t="s">
        <v>46</v>
      </c>
      <c r="C24" s="70"/>
      <c r="D24" s="70"/>
      <c r="E24" s="70"/>
      <c r="F24" s="70"/>
      <c r="G24" s="70"/>
      <c r="H24" s="70"/>
      <c r="I24" s="70">
        <v>0</v>
      </c>
      <c r="J24" s="70"/>
      <c r="K24" s="70"/>
      <c r="L24" s="70"/>
      <c r="M24" s="70"/>
      <c r="N24" s="70"/>
      <c r="O24" s="70"/>
      <c r="P24" s="71"/>
      <c r="Q24" s="65">
        <v>0</v>
      </c>
      <c r="R24" s="351"/>
      <c r="S24" s="69"/>
      <c r="T24" s="72"/>
      <c r="U24" s="70">
        <v>0</v>
      </c>
      <c r="V24" s="70"/>
      <c r="W24" s="70"/>
      <c r="X24" s="70"/>
      <c r="Y24" s="70">
        <v>0</v>
      </c>
      <c r="Z24" s="70"/>
      <c r="AA24" s="70">
        <v>0.17100000000000001</v>
      </c>
      <c r="AB24" s="70">
        <v>0.20100000000000001</v>
      </c>
      <c r="AC24" s="70">
        <v>0</v>
      </c>
      <c r="AD24" s="70"/>
      <c r="AE24" s="70"/>
      <c r="AF24" s="70"/>
      <c r="AG24" s="70">
        <v>0</v>
      </c>
      <c r="AH24" s="70"/>
      <c r="AI24" s="70">
        <v>1.494</v>
      </c>
      <c r="AJ24" s="70">
        <v>2.4540000000000002</v>
      </c>
      <c r="AK24" s="70">
        <v>0</v>
      </c>
      <c r="AL24" s="70"/>
      <c r="AM24" s="70"/>
      <c r="AN24" s="70"/>
      <c r="AO24" s="70">
        <v>0</v>
      </c>
      <c r="AP24" s="70"/>
      <c r="AQ24" s="70"/>
      <c r="AR24" s="70"/>
      <c r="AS24" s="70"/>
      <c r="AT24" s="70"/>
      <c r="AU24" s="70">
        <v>1.6659999999999999</v>
      </c>
      <c r="AV24" s="70">
        <v>3.1970000000000001</v>
      </c>
      <c r="AW24" s="68">
        <v>0</v>
      </c>
      <c r="AX24" s="75">
        <f t="shared" si="0"/>
        <v>3.331</v>
      </c>
      <c r="AY24" s="75">
        <f t="shared" si="1"/>
        <v>5.8520000000000003</v>
      </c>
      <c r="AZ24" s="75">
        <f t="shared" si="2"/>
        <v>0</v>
      </c>
      <c r="BA24">
        <f t="shared" si="3"/>
        <v>1.7568297808465927</v>
      </c>
    </row>
    <row r="25" spans="1:53" ht="15.6" x14ac:dyDescent="0.3">
      <c r="A25" s="66">
        <v>22</v>
      </c>
      <c r="B25" s="80" t="s">
        <v>47</v>
      </c>
      <c r="C25" s="70">
        <v>1.0999999999999999E-2</v>
      </c>
      <c r="D25" s="70"/>
      <c r="E25" s="70">
        <v>2.7777777777777776E-2</v>
      </c>
      <c r="F25" s="70"/>
      <c r="G25" s="70">
        <v>7.0000000000000001E-3</v>
      </c>
      <c r="H25" s="70"/>
      <c r="I25" s="70">
        <v>4.2857142857142858E-2</v>
      </c>
      <c r="J25" s="70"/>
      <c r="K25" s="70"/>
      <c r="L25" s="70"/>
      <c r="M25" s="70"/>
      <c r="N25" s="70"/>
      <c r="O25" s="70">
        <v>3.1E-2</v>
      </c>
      <c r="P25" s="71"/>
      <c r="Q25" s="65">
        <v>6.2040816326530614E-4</v>
      </c>
      <c r="R25" s="351"/>
      <c r="S25" s="69">
        <v>3.4000000000000002E-2</v>
      </c>
      <c r="T25" s="72"/>
      <c r="U25" s="70">
        <v>1.0937499999999999E-2</v>
      </c>
      <c r="V25" s="70"/>
      <c r="W25" s="70"/>
      <c r="X25" s="70"/>
      <c r="Y25" s="70">
        <v>0</v>
      </c>
      <c r="Z25" s="70"/>
      <c r="AA25" s="70">
        <v>1.7000000000000001E-2</v>
      </c>
      <c r="AB25" s="70">
        <v>16.5</v>
      </c>
      <c r="AC25" s="70">
        <v>0</v>
      </c>
      <c r="AD25" s="70"/>
      <c r="AE25" s="70">
        <v>3.7999999999999999E-2</v>
      </c>
      <c r="AF25" s="70"/>
      <c r="AG25" s="70">
        <v>1.051939513477975E-5</v>
      </c>
      <c r="AH25" s="70"/>
      <c r="AI25" s="70">
        <v>2.5000000000000001E-2</v>
      </c>
      <c r="AJ25" s="70"/>
      <c r="AK25" s="70">
        <v>1.4201183431952664E-3</v>
      </c>
      <c r="AL25" s="70"/>
      <c r="AM25" s="70"/>
      <c r="AN25" s="70"/>
      <c r="AO25" s="70">
        <v>0</v>
      </c>
      <c r="AP25" s="70"/>
      <c r="AQ25" s="70"/>
      <c r="AR25" s="70"/>
      <c r="AS25" s="70"/>
      <c r="AT25" s="70"/>
      <c r="AU25" s="70">
        <v>7.9000000000000001E-2</v>
      </c>
      <c r="AV25" s="70"/>
      <c r="AW25" s="68">
        <v>2.4382716049382715E-3</v>
      </c>
      <c r="AX25" s="75">
        <f t="shared" si="0"/>
        <v>0.24199999999999999</v>
      </c>
      <c r="AY25" s="75">
        <f t="shared" si="1"/>
        <v>16.5</v>
      </c>
      <c r="AZ25" s="75">
        <f t="shared" si="2"/>
        <v>8.6061738141454264E-2</v>
      </c>
      <c r="BA25">
        <f t="shared" si="3"/>
        <v>68.537445198931621</v>
      </c>
    </row>
    <row r="26" spans="1:53" ht="15.6" x14ac:dyDescent="0.3">
      <c r="A26" s="66">
        <v>23</v>
      </c>
      <c r="B26" s="80" t="s">
        <v>48</v>
      </c>
      <c r="C26" s="64">
        <v>6.0000000000000001E-3</v>
      </c>
      <c r="D26" s="64"/>
      <c r="E26" s="64">
        <f>2/180</f>
        <v>1.1111111111111112E-2</v>
      </c>
      <c r="F26" s="64"/>
      <c r="G26" s="64">
        <v>2.8000000000000001E-2</v>
      </c>
      <c r="H26" s="64"/>
      <c r="I26" s="64">
        <f>378/210</f>
        <v>1.8</v>
      </c>
      <c r="J26" s="64"/>
      <c r="K26" s="64">
        <v>4.6740000000000004</v>
      </c>
      <c r="L26" s="64">
        <v>70.751000000000005</v>
      </c>
      <c r="M26" s="64">
        <f>97/180</f>
        <v>0.53888888888888886</v>
      </c>
      <c r="N26" s="64"/>
      <c r="O26" s="64">
        <v>4.0000000000000001E-3</v>
      </c>
      <c r="P26" s="64"/>
      <c r="Q26" s="64">
        <f>91/175</f>
        <v>0.52</v>
      </c>
      <c r="R26" s="64"/>
      <c r="S26" s="64"/>
      <c r="T26" s="64"/>
      <c r="U26" s="64"/>
      <c r="V26" s="64"/>
      <c r="W26" s="64">
        <v>12.59</v>
      </c>
      <c r="X26" s="64">
        <v>130.07</v>
      </c>
      <c r="Y26" s="64">
        <v>8.2100000000000009</v>
      </c>
      <c r="Z26" s="64"/>
      <c r="AA26" s="64">
        <v>0.91600000000000004</v>
      </c>
      <c r="AB26" s="64">
        <v>18.082000000000001</v>
      </c>
      <c r="AC26" s="64"/>
      <c r="AD26" s="64"/>
      <c r="AE26" s="64"/>
      <c r="AF26" s="64"/>
      <c r="AG26" s="64"/>
      <c r="AH26" s="64"/>
      <c r="AI26" s="64">
        <v>2.0209999999999999</v>
      </c>
      <c r="AJ26" s="64">
        <v>19.34</v>
      </c>
      <c r="AK26" s="64">
        <f>58/130</f>
        <v>0.44615384615384618</v>
      </c>
      <c r="AL26" s="64"/>
      <c r="AM26" s="64">
        <v>3.5619999999999998</v>
      </c>
      <c r="AN26" s="64">
        <v>62.773000000000003</v>
      </c>
      <c r="AO26" s="64">
        <f>595/180</f>
        <v>3.3055555555555554</v>
      </c>
      <c r="AP26" s="64"/>
      <c r="AQ26" s="64"/>
      <c r="AR26" s="64"/>
      <c r="AS26" s="64"/>
      <c r="AT26" s="64"/>
      <c r="AU26" s="64">
        <f>0.006+0.011+6.77</f>
        <v>6.7869999999999999</v>
      </c>
      <c r="AV26" s="64">
        <f>0.059+121.364</f>
        <v>121.423</v>
      </c>
      <c r="AW26" s="64">
        <f>85/180</f>
        <v>0.47222222222222221</v>
      </c>
      <c r="AX26" s="75">
        <f t="shared" si="0"/>
        <v>30.588000000000001</v>
      </c>
      <c r="AY26" s="75">
        <f t="shared" si="1"/>
        <v>422.43900000000002</v>
      </c>
      <c r="AZ26" s="75">
        <f t="shared" si="2"/>
        <v>15.303931623931625</v>
      </c>
      <c r="BA26">
        <f t="shared" si="3"/>
        <v>14.310936694910803</v>
      </c>
    </row>
    <row r="27" spans="1:53" ht="15.6" x14ac:dyDescent="0.3">
      <c r="A27" s="66">
        <v>24</v>
      </c>
      <c r="B27" s="84" t="s">
        <v>65</v>
      </c>
      <c r="C27" s="70"/>
      <c r="D27" s="70"/>
      <c r="E27" s="70"/>
      <c r="F27" s="70"/>
      <c r="G27" s="70">
        <v>1E-3</v>
      </c>
      <c r="H27" s="70"/>
      <c r="I27" s="70">
        <f>10/210</f>
        <v>4.7619047619047616E-2</v>
      </c>
      <c r="J27" s="70"/>
      <c r="K27" s="70">
        <v>0.6</v>
      </c>
      <c r="L27" s="70">
        <v>0.89</v>
      </c>
      <c r="M27" s="70">
        <f>12/180</f>
        <v>6.6666666666666666E-2</v>
      </c>
      <c r="N27" s="70"/>
      <c r="O27" s="70">
        <v>0.08</v>
      </c>
      <c r="P27" s="71"/>
      <c r="Q27" s="65">
        <f>548/175</f>
        <v>3.1314285714285712</v>
      </c>
      <c r="R27" s="351"/>
      <c r="S27" s="69">
        <v>2E-3</v>
      </c>
      <c r="T27" s="72"/>
      <c r="U27" s="70">
        <f>10/80</f>
        <v>0.125</v>
      </c>
      <c r="V27" s="70"/>
      <c r="W27" s="70">
        <v>0.34</v>
      </c>
      <c r="X27" s="70">
        <v>1.1200000000000001</v>
      </c>
      <c r="Y27" s="70"/>
      <c r="Z27" s="70"/>
      <c r="AA27" s="70">
        <v>2.13</v>
      </c>
      <c r="AB27" s="70">
        <v>10.65</v>
      </c>
      <c r="AC27" s="70"/>
      <c r="AD27" s="70"/>
      <c r="AE27" s="70"/>
      <c r="AF27" s="70"/>
      <c r="AG27" s="70"/>
      <c r="AH27" s="70"/>
      <c r="AI27" s="70">
        <v>0.43</v>
      </c>
      <c r="AJ27" s="70">
        <v>0.83</v>
      </c>
      <c r="AK27" s="70"/>
      <c r="AL27" s="70"/>
      <c r="AM27" s="70">
        <v>0.01</v>
      </c>
      <c r="AN27" s="70">
        <v>0.03</v>
      </c>
      <c r="AO27" s="70"/>
      <c r="AP27" s="70"/>
      <c r="AQ27" s="70"/>
      <c r="AR27" s="70"/>
      <c r="AS27" s="70"/>
      <c r="AT27" s="70"/>
      <c r="AU27" s="70">
        <v>0.12</v>
      </c>
      <c r="AV27" s="70">
        <v>0.46</v>
      </c>
      <c r="AW27" s="68"/>
      <c r="AX27" s="75">
        <f t="shared" si="0"/>
        <v>3.7129999999999996</v>
      </c>
      <c r="AY27" s="75">
        <f t="shared" si="1"/>
        <v>13.98</v>
      </c>
      <c r="AZ27" s="75">
        <f t="shared" si="2"/>
        <v>3.3707142857142856</v>
      </c>
      <c r="BA27">
        <f t="shared" si="3"/>
        <v>4.6729637182101502</v>
      </c>
    </row>
    <row r="28" spans="1:53" ht="15.6" x14ac:dyDescent="0.3">
      <c r="A28" s="66">
        <v>25</v>
      </c>
      <c r="B28" s="80" t="s">
        <v>49</v>
      </c>
      <c r="C28" s="70"/>
      <c r="D28" s="70"/>
      <c r="E28" s="70"/>
      <c r="F28" s="70"/>
      <c r="G28" s="70"/>
      <c r="H28" s="70"/>
      <c r="I28" s="70">
        <v>0</v>
      </c>
      <c r="J28" s="70"/>
      <c r="K28" s="70"/>
      <c r="L28" s="70"/>
      <c r="M28" s="70"/>
      <c r="N28" s="70"/>
      <c r="O28" s="70"/>
      <c r="P28" s="71"/>
      <c r="Q28" s="65">
        <v>0</v>
      </c>
      <c r="R28" s="351"/>
      <c r="S28" s="69"/>
      <c r="T28" s="70"/>
      <c r="U28" s="70">
        <v>0</v>
      </c>
      <c r="V28" s="70"/>
      <c r="W28" s="70"/>
      <c r="X28" s="70"/>
      <c r="Y28" s="70">
        <v>0</v>
      </c>
      <c r="Z28" s="70"/>
      <c r="AA28" s="70"/>
      <c r="AB28" s="70"/>
      <c r="AC28" s="70">
        <v>0</v>
      </c>
      <c r="AD28" s="70"/>
      <c r="AE28" s="70"/>
      <c r="AF28" s="70"/>
      <c r="AG28" s="70">
        <v>0</v>
      </c>
      <c r="AH28" s="70"/>
      <c r="AI28" s="70"/>
      <c r="AJ28" s="70"/>
      <c r="AK28" s="70">
        <v>0</v>
      </c>
      <c r="AL28" s="70"/>
      <c r="AM28" s="70"/>
      <c r="AN28" s="70"/>
      <c r="AO28" s="70">
        <v>0</v>
      </c>
      <c r="AP28" s="70"/>
      <c r="AQ28" s="70"/>
      <c r="AR28" s="70"/>
      <c r="AS28" s="70"/>
      <c r="AT28" s="70"/>
      <c r="AU28" s="70"/>
      <c r="AV28" s="70"/>
      <c r="AW28" s="68">
        <v>0</v>
      </c>
      <c r="AX28" s="75">
        <f t="shared" si="0"/>
        <v>0</v>
      </c>
      <c r="AY28" s="75">
        <f t="shared" si="1"/>
        <v>0</v>
      </c>
      <c r="AZ28" s="75">
        <f t="shared" si="2"/>
        <v>0</v>
      </c>
      <c r="BA28" t="e">
        <f t="shared" si="3"/>
        <v>#DIV/0!</v>
      </c>
    </row>
    <row r="29" spans="1:53" ht="15.6" x14ac:dyDescent="0.3">
      <c r="A29" s="66">
        <v>26</v>
      </c>
      <c r="B29" s="80" t="s">
        <v>50</v>
      </c>
      <c r="C29" s="70"/>
      <c r="D29" s="70"/>
      <c r="E29" s="70"/>
      <c r="F29" s="70"/>
      <c r="G29" s="70"/>
      <c r="H29" s="70"/>
      <c r="I29" s="70">
        <v>0</v>
      </c>
      <c r="J29" s="70"/>
      <c r="K29" s="70"/>
      <c r="L29" s="70"/>
      <c r="M29" s="70"/>
      <c r="N29" s="70"/>
      <c r="O29" s="70"/>
      <c r="P29" s="71"/>
      <c r="Q29" s="65">
        <v>0</v>
      </c>
      <c r="R29" s="351"/>
      <c r="S29" s="69">
        <v>3.21</v>
      </c>
      <c r="T29" s="72"/>
      <c r="U29" s="70">
        <v>4.6874999999999998E-4</v>
      </c>
      <c r="V29" s="70"/>
      <c r="W29" s="70"/>
      <c r="X29" s="70"/>
      <c r="Y29" s="70">
        <v>0</v>
      </c>
      <c r="Z29" s="70"/>
      <c r="AA29" s="70">
        <v>3.6019999999999999</v>
      </c>
      <c r="AB29" s="70">
        <v>7.2039999999999997</v>
      </c>
      <c r="AC29" s="70">
        <v>0</v>
      </c>
      <c r="AD29" s="70"/>
      <c r="AE29" s="70"/>
      <c r="AF29" s="70"/>
      <c r="AG29" s="70">
        <v>0</v>
      </c>
      <c r="AH29" s="70"/>
      <c r="AI29" s="70">
        <v>10.39</v>
      </c>
      <c r="AJ29" s="70">
        <v>27.11</v>
      </c>
      <c r="AK29" s="70">
        <v>0</v>
      </c>
      <c r="AL29" s="70"/>
      <c r="AM29" s="70"/>
      <c r="AN29" s="70"/>
      <c r="AO29" s="70">
        <v>0</v>
      </c>
      <c r="AP29" s="70"/>
      <c r="AQ29" s="70"/>
      <c r="AR29" s="70"/>
      <c r="AS29" s="70"/>
      <c r="AT29" s="70"/>
      <c r="AU29" s="70"/>
      <c r="AV29" s="70"/>
      <c r="AW29" s="68">
        <v>0</v>
      </c>
      <c r="AX29" s="75">
        <f t="shared" si="0"/>
        <v>17.201999999999998</v>
      </c>
      <c r="AY29" s="75">
        <f t="shared" si="1"/>
        <v>34.314</v>
      </c>
      <c r="AZ29" s="75">
        <f t="shared" si="2"/>
        <v>4.6874999999999998E-4</v>
      </c>
      <c r="BA29">
        <f t="shared" si="3"/>
        <v>1.9947952999651208</v>
      </c>
    </row>
    <row r="30" spans="1:53" ht="15.6" x14ac:dyDescent="0.3">
      <c r="A30" s="66">
        <v>27</v>
      </c>
      <c r="B30" s="80" t="s">
        <v>51</v>
      </c>
      <c r="C30" s="70"/>
      <c r="D30" s="70"/>
      <c r="E30" s="70"/>
      <c r="F30" s="70"/>
      <c r="G30" s="70">
        <v>0.02</v>
      </c>
      <c r="H30" s="70"/>
      <c r="I30" s="70">
        <f>86.83/210</f>
        <v>0.41347619047619044</v>
      </c>
      <c r="J30" s="70"/>
      <c r="K30" s="70"/>
      <c r="L30" s="70"/>
      <c r="M30" s="70"/>
      <c r="N30" s="70"/>
      <c r="O30" s="70">
        <v>9.2999999999999999E-2</v>
      </c>
      <c r="P30" s="71"/>
      <c r="Q30" s="65">
        <f>899.4/175</f>
        <v>5.1394285714285717</v>
      </c>
      <c r="R30" s="351"/>
      <c r="S30" s="69">
        <v>0.48399999999999999</v>
      </c>
      <c r="T30" s="72"/>
      <c r="U30" s="70">
        <v>7.875</v>
      </c>
      <c r="V30" s="70"/>
      <c r="W30" s="70"/>
      <c r="X30" s="70"/>
      <c r="Y30" s="70"/>
      <c r="Z30" s="70"/>
      <c r="AA30" s="70">
        <v>0.73099999999999998</v>
      </c>
      <c r="AB30" s="70">
        <v>1.4990000000000001</v>
      </c>
      <c r="AC30" s="70"/>
      <c r="AD30" s="70"/>
      <c r="AE30" s="70"/>
      <c r="AF30" s="70"/>
      <c r="AG30" s="70"/>
      <c r="AH30" s="70"/>
      <c r="AI30" s="70">
        <v>0.105</v>
      </c>
      <c r="AJ30" s="70">
        <v>0.13</v>
      </c>
      <c r="AK30" s="70"/>
      <c r="AL30" s="70"/>
      <c r="AM30" s="70">
        <v>1.7000000000000001E-2</v>
      </c>
      <c r="AN30" s="70">
        <v>3.3000000000000002E-2</v>
      </c>
      <c r="AO30" s="70"/>
      <c r="AP30" s="70"/>
      <c r="AQ30" s="70"/>
      <c r="AR30" s="70"/>
      <c r="AS30" s="70"/>
      <c r="AT30" s="70"/>
      <c r="AU30" s="70">
        <f>0.009+0.079</f>
        <v>8.7999999999999995E-2</v>
      </c>
      <c r="AV30" s="70">
        <v>8.6999999999999994E-2</v>
      </c>
      <c r="AW30" s="68">
        <f>16.82/180</f>
        <v>9.3444444444444441E-2</v>
      </c>
      <c r="AX30" s="75">
        <f t="shared" si="0"/>
        <v>1.5379999999999998</v>
      </c>
      <c r="AY30" s="75">
        <f t="shared" si="1"/>
        <v>1.7489999999999999</v>
      </c>
      <c r="AZ30" s="75">
        <f t="shared" si="2"/>
        <v>13.521349206349207</v>
      </c>
      <c r="BA30">
        <f t="shared" si="3"/>
        <v>9.9287055958057273</v>
      </c>
    </row>
    <row r="31" spans="1:53" ht="15.6" x14ac:dyDescent="0.3">
      <c r="A31" s="66">
        <v>28</v>
      </c>
      <c r="B31" s="80" t="s">
        <v>52</v>
      </c>
      <c r="C31" s="70"/>
      <c r="D31" s="70"/>
      <c r="E31" s="70"/>
      <c r="F31" s="70"/>
      <c r="G31" s="70"/>
      <c r="H31" s="70"/>
      <c r="I31" s="70"/>
      <c r="J31" s="70"/>
      <c r="K31" s="70">
        <v>0.52400000000000002</v>
      </c>
      <c r="L31" s="70"/>
      <c r="M31" s="70">
        <f>1418/180</f>
        <v>7.8777777777777782</v>
      </c>
      <c r="N31" s="70"/>
      <c r="O31" s="70"/>
      <c r="P31" s="71"/>
      <c r="Q31" s="65"/>
      <c r="R31" s="351"/>
      <c r="S31" s="69">
        <v>2.8130000000000002</v>
      </c>
      <c r="T31" s="72"/>
      <c r="U31" s="70">
        <f>4213/80</f>
        <v>52.662500000000001</v>
      </c>
      <c r="V31" s="70"/>
      <c r="W31" s="70">
        <v>0.45900000000000002</v>
      </c>
      <c r="X31" s="70">
        <v>0.63</v>
      </c>
      <c r="Y31" s="70"/>
      <c r="Z31" s="70"/>
      <c r="AA31" s="70">
        <v>6.7519999999999998</v>
      </c>
      <c r="AB31" s="70">
        <v>58.103000000000002</v>
      </c>
      <c r="AC31" s="70"/>
      <c r="AD31" s="70"/>
      <c r="AE31" s="70"/>
      <c r="AF31" s="70"/>
      <c r="AG31" s="70"/>
      <c r="AH31" s="70"/>
      <c r="AI31" s="70">
        <v>1.7390000000000001</v>
      </c>
      <c r="AJ31" s="70"/>
      <c r="AK31" s="70">
        <f>8231/130</f>
        <v>63.315384615384616</v>
      </c>
      <c r="AL31" s="70"/>
      <c r="AM31" s="70">
        <v>5.6210000000000004</v>
      </c>
      <c r="AN31" s="70"/>
      <c r="AO31" s="70">
        <f>13185/180</f>
        <v>73.25</v>
      </c>
      <c r="AP31" s="70"/>
      <c r="AQ31" s="70"/>
      <c r="AR31" s="70"/>
      <c r="AS31" s="70"/>
      <c r="AT31" s="70"/>
      <c r="AU31" s="70">
        <v>7.7210000000000001</v>
      </c>
      <c r="AV31" s="70">
        <v>10.89</v>
      </c>
      <c r="AW31" s="68">
        <v>0</v>
      </c>
      <c r="AX31" s="75">
        <f t="shared" si="0"/>
        <v>25.629000000000001</v>
      </c>
      <c r="AY31" s="75">
        <f t="shared" si="1"/>
        <v>69.623000000000005</v>
      </c>
      <c r="AZ31" s="75">
        <f t="shared" si="2"/>
        <v>197.10566239316239</v>
      </c>
      <c r="BA31">
        <f t="shared" si="3"/>
        <v>10.407298856497029</v>
      </c>
    </row>
    <row r="32" spans="1:53" ht="15.6" x14ac:dyDescent="0.3">
      <c r="A32" s="66">
        <v>29</v>
      </c>
      <c r="B32" s="85" t="s">
        <v>12</v>
      </c>
      <c r="C32" s="70">
        <v>0</v>
      </c>
      <c r="D32" s="70">
        <v>0</v>
      </c>
      <c r="E32" s="70">
        <v>0</v>
      </c>
      <c r="F32" s="70"/>
      <c r="G32" s="70">
        <v>0</v>
      </c>
      <c r="H32" s="86">
        <v>0</v>
      </c>
      <c r="I32" s="86">
        <v>0</v>
      </c>
      <c r="J32" s="86"/>
      <c r="K32" s="86">
        <v>0</v>
      </c>
      <c r="L32" s="86">
        <v>0</v>
      </c>
      <c r="M32" s="70">
        <v>0</v>
      </c>
      <c r="N32" s="70"/>
      <c r="O32" s="70">
        <v>0</v>
      </c>
      <c r="P32" s="70">
        <v>0</v>
      </c>
      <c r="Q32" s="70">
        <v>0</v>
      </c>
      <c r="R32" s="70"/>
      <c r="S32" s="70">
        <v>0</v>
      </c>
      <c r="T32" s="70">
        <v>0</v>
      </c>
      <c r="U32" s="70">
        <v>0</v>
      </c>
      <c r="V32" s="70"/>
      <c r="W32" s="70">
        <v>4.3999999999999997E-2</v>
      </c>
      <c r="X32" s="70">
        <v>0.36399999999999999</v>
      </c>
      <c r="Y32" s="70">
        <v>0</v>
      </c>
      <c r="Z32" s="70"/>
      <c r="AA32" s="70">
        <v>0.11299999999999999</v>
      </c>
      <c r="AB32" s="70">
        <v>0.65300000000000002</v>
      </c>
      <c r="AC32" s="70">
        <v>0</v>
      </c>
      <c r="AD32" s="70"/>
      <c r="AE32" s="70">
        <v>0</v>
      </c>
      <c r="AF32" s="70">
        <v>0</v>
      </c>
      <c r="AG32" s="70">
        <v>0</v>
      </c>
      <c r="AH32" s="70"/>
      <c r="AI32" s="70">
        <v>1.4E-2</v>
      </c>
      <c r="AJ32" s="70">
        <v>2.6000000000000002E-2</v>
      </c>
      <c r="AK32" s="70">
        <v>0</v>
      </c>
      <c r="AL32" s="70"/>
      <c r="AM32" s="70">
        <v>3.0000000000000001E-3</v>
      </c>
      <c r="AN32" s="70">
        <v>8.9999999999999993E-3</v>
      </c>
      <c r="AO32" s="70">
        <v>0</v>
      </c>
      <c r="AP32" s="70"/>
      <c r="AQ32" s="70">
        <v>0</v>
      </c>
      <c r="AR32" s="70">
        <v>0</v>
      </c>
      <c r="AS32" s="70">
        <v>0</v>
      </c>
      <c r="AT32" s="70"/>
      <c r="AU32" s="70">
        <v>0.16190000000000002</v>
      </c>
      <c r="AV32" s="70">
        <v>0.30299999999999999</v>
      </c>
      <c r="AW32" s="70">
        <v>0.47166666666666668</v>
      </c>
      <c r="AX32" s="75">
        <f t="shared" si="0"/>
        <v>0.33589999999999998</v>
      </c>
      <c r="AY32" s="75">
        <f t="shared" si="1"/>
        <v>1.3549999999999998</v>
      </c>
      <c r="AZ32" s="75">
        <f t="shared" si="2"/>
        <v>0.47166666666666668</v>
      </c>
      <c r="BA32">
        <f t="shared" si="3"/>
        <v>5.4381264265158276</v>
      </c>
    </row>
    <row r="33" spans="1:53" ht="15.6" x14ac:dyDescent="0.3">
      <c r="A33" s="66"/>
      <c r="B33" s="347" t="s">
        <v>72</v>
      </c>
      <c r="C33" s="348">
        <f>SUM(C4:C32)</f>
        <v>0.37310000000000004</v>
      </c>
      <c r="D33" s="348">
        <f t="shared" ref="D33:AZ33" si="4">SUM(D4:D32)</f>
        <v>1.1270899999999999</v>
      </c>
      <c r="E33" s="348">
        <f t="shared" si="4"/>
        <v>2.0913333333333335</v>
      </c>
      <c r="F33" s="348"/>
      <c r="G33" s="348">
        <f t="shared" si="4"/>
        <v>3.0834999999999999</v>
      </c>
      <c r="H33" s="348">
        <f t="shared" si="4"/>
        <v>1.2839999999999998</v>
      </c>
      <c r="I33" s="348">
        <f t="shared" si="4"/>
        <v>6.6770952380952382</v>
      </c>
      <c r="J33" s="348"/>
      <c r="K33" s="348">
        <f t="shared" si="4"/>
        <v>20.093500000000002</v>
      </c>
      <c r="L33" s="348">
        <f t="shared" si="4"/>
        <v>185.23699999999999</v>
      </c>
      <c r="M33" s="348">
        <f t="shared" si="4"/>
        <v>14.927944444444444</v>
      </c>
      <c r="N33" s="348"/>
      <c r="O33" s="348">
        <f t="shared" si="4"/>
        <v>1.15005</v>
      </c>
      <c r="P33" s="348">
        <f t="shared" si="4"/>
        <v>5.0240000000000009</v>
      </c>
      <c r="Q33" s="348">
        <f t="shared" si="4"/>
        <v>20.530757551020407</v>
      </c>
      <c r="R33" s="348"/>
      <c r="S33" s="348">
        <f t="shared" si="4"/>
        <v>11.846999999999998</v>
      </c>
      <c r="T33" s="348">
        <f t="shared" si="4"/>
        <v>42.152500000000003</v>
      </c>
      <c r="U33" s="348">
        <f t="shared" si="4"/>
        <v>132.57553124999998</v>
      </c>
      <c r="V33" s="348"/>
      <c r="W33" s="348">
        <f t="shared" si="4"/>
        <v>22.855999999999998</v>
      </c>
      <c r="X33" s="348">
        <f t="shared" si="4"/>
        <v>188.55199999999999</v>
      </c>
      <c r="Y33" s="348">
        <f t="shared" si="4"/>
        <v>10.711111111111112</v>
      </c>
      <c r="Z33" s="348"/>
      <c r="AA33" s="348">
        <f t="shared" si="4"/>
        <v>66.095399999999984</v>
      </c>
      <c r="AB33" s="348">
        <f t="shared" si="4"/>
        <v>603.1789399999999</v>
      </c>
      <c r="AC33" s="348">
        <f t="shared" si="4"/>
        <v>5.7111111111111112</v>
      </c>
      <c r="AD33" s="348"/>
      <c r="AE33" s="348">
        <f t="shared" si="4"/>
        <v>0.82169999999999999</v>
      </c>
      <c r="AF33" s="348">
        <f t="shared" si="4"/>
        <v>4.8260000000000005</v>
      </c>
      <c r="AG33" s="348">
        <f t="shared" si="4"/>
        <v>5.5460514646796695E-2</v>
      </c>
      <c r="AH33" s="348"/>
      <c r="AI33" s="348">
        <f t="shared" si="4"/>
        <v>29.414920000000002</v>
      </c>
      <c r="AJ33" s="348">
        <f t="shared" si="4"/>
        <v>113.18852</v>
      </c>
      <c r="AK33" s="348">
        <f t="shared" si="4"/>
        <v>188.75753977646286</v>
      </c>
      <c r="AL33" s="348"/>
      <c r="AM33" s="348">
        <f t="shared" si="4"/>
        <v>16.189999999999998</v>
      </c>
      <c r="AN33" s="348">
        <f t="shared" si="4"/>
        <v>107.90600000000001</v>
      </c>
      <c r="AO33" s="348">
        <f t="shared" si="4"/>
        <v>89.291666666666657</v>
      </c>
      <c r="AP33" s="348"/>
      <c r="AQ33" s="348">
        <f t="shared" si="4"/>
        <v>1.7999999999999999E-2</v>
      </c>
      <c r="AR33" s="348">
        <f t="shared" si="4"/>
        <v>0</v>
      </c>
      <c r="AS33" s="348">
        <f t="shared" si="4"/>
        <v>0.10372222222222223</v>
      </c>
      <c r="AT33" s="348"/>
      <c r="AU33" s="348">
        <f t="shared" si="4"/>
        <v>105.627773</v>
      </c>
      <c r="AV33" s="348">
        <f t="shared" si="4"/>
        <v>403.76376799999997</v>
      </c>
      <c r="AW33" s="348">
        <f t="shared" si="4"/>
        <v>56.239220549382715</v>
      </c>
      <c r="AX33" s="348">
        <f t="shared" si="4"/>
        <v>277.570943</v>
      </c>
      <c r="AY33" s="348">
        <f t="shared" si="4"/>
        <v>1656.2398180000005</v>
      </c>
      <c r="AZ33" s="348">
        <f t="shared" si="4"/>
        <v>527.67249376849702</v>
      </c>
      <c r="BA33">
        <f>(AZ33+AY33)/AX33</f>
        <v>7.8679428335137285</v>
      </c>
    </row>
    <row r="34" spans="1:53" ht="15.6" x14ac:dyDescent="0.3">
      <c r="A34" s="87" t="s">
        <v>80</v>
      </c>
      <c r="B34" s="82"/>
      <c r="C34" s="82"/>
      <c r="D34" s="82"/>
      <c r="E34" s="82"/>
      <c r="F34" s="376">
        <f>(E33+D33)/C33</f>
        <v>8.626168140802287</v>
      </c>
      <c r="G34" s="82"/>
      <c r="H34" s="82"/>
      <c r="I34" s="82"/>
      <c r="J34" s="376">
        <f t="shared" ref="J34:AT34" si="5">(I33+H33)/G33</f>
        <v>2.5818372752052015</v>
      </c>
      <c r="K34" s="82"/>
      <c r="L34" s="82"/>
      <c r="M34" s="82"/>
      <c r="N34" s="82">
        <f t="shared" si="5"/>
        <v>9.9616763851217769</v>
      </c>
      <c r="O34" s="82"/>
      <c r="P34" s="82"/>
      <c r="Q34" s="82"/>
      <c r="R34" s="376">
        <f t="shared" si="5"/>
        <v>22.220562193835406</v>
      </c>
      <c r="S34" s="82"/>
      <c r="T34" s="82"/>
      <c r="U34" s="82"/>
      <c r="V34" s="376">
        <f t="shared" si="5"/>
        <v>14.748715392082385</v>
      </c>
      <c r="W34" s="82"/>
      <c r="X34" s="82"/>
      <c r="Y34" s="82"/>
      <c r="Z34" s="82">
        <f t="shared" si="5"/>
        <v>8.71819702096216</v>
      </c>
      <c r="AA34" s="82"/>
      <c r="AB34" s="82"/>
      <c r="AC34" s="82"/>
      <c r="AD34" s="82">
        <f t="shared" si="5"/>
        <v>9.2122908872797673</v>
      </c>
      <c r="AE34" s="82"/>
      <c r="AF34" s="82"/>
      <c r="AG34" s="82"/>
      <c r="AH34" s="82">
        <f t="shared" si="5"/>
        <v>5.9406845742324412</v>
      </c>
      <c r="AI34" s="82"/>
      <c r="AJ34" s="82"/>
      <c r="AK34" s="82"/>
      <c r="AL34" s="82">
        <f>(AK33+AJ33)/AI33</f>
        <v>10.265064796248394</v>
      </c>
      <c r="AM34" s="82"/>
      <c r="AN34" s="82"/>
      <c r="AO34" s="82"/>
      <c r="AP34" s="82">
        <f t="shared" ref="AP34" si="6">(AO33+AN33)/AM33</f>
        <v>12.180214123944824</v>
      </c>
      <c r="AQ34" s="82"/>
      <c r="AR34" s="82"/>
      <c r="AS34" s="82"/>
      <c r="AT34" s="82">
        <f t="shared" si="5"/>
        <v>5.7623456790123466</v>
      </c>
      <c r="AU34" s="82"/>
      <c r="AV34" s="82"/>
      <c r="AW34" s="82"/>
      <c r="AX34" s="82"/>
      <c r="AY34" s="82"/>
      <c r="AZ34" s="82"/>
      <c r="BA34" s="82"/>
    </row>
    <row r="35" spans="1:53" ht="15.6" x14ac:dyDescent="0.3">
      <c r="A35" s="87" t="s">
        <v>67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</row>
  </sheetData>
  <mergeCells count="27">
    <mergeCell ref="AJ2:AK2"/>
    <mergeCell ref="AN2:AO2"/>
    <mergeCell ref="AR2:AS2"/>
    <mergeCell ref="AV2:AW2"/>
    <mergeCell ref="AY2:AZ2"/>
    <mergeCell ref="AU1:AW1"/>
    <mergeCell ref="AX1:AZ1"/>
    <mergeCell ref="D2:E2"/>
    <mergeCell ref="H2:I2"/>
    <mergeCell ref="L2:M2"/>
    <mergeCell ref="P2:Q2"/>
    <mergeCell ref="T2:U2"/>
    <mergeCell ref="X2:Y2"/>
    <mergeCell ref="AB2:AC2"/>
    <mergeCell ref="AF2:AG2"/>
    <mergeCell ref="W1:Y1"/>
    <mergeCell ref="AA1:AC1"/>
    <mergeCell ref="AE1:AG1"/>
    <mergeCell ref="AI1:AK1"/>
    <mergeCell ref="AM1:AO1"/>
    <mergeCell ref="AQ1:AS1"/>
    <mergeCell ref="S1:U1"/>
    <mergeCell ref="A1:A2"/>
    <mergeCell ref="C1:E1"/>
    <mergeCell ref="G1:I1"/>
    <mergeCell ref="K1:M1"/>
    <mergeCell ref="O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4D7D-F40A-419A-8FF4-55E1B262C2D0}">
  <dimension ref="A1:BA35"/>
  <sheetViews>
    <sheetView topLeftCell="D22" workbookViewId="0">
      <selection activeCell="V34" sqref="V34"/>
    </sheetView>
  </sheetViews>
  <sheetFormatPr defaultRowHeight="14.4" x14ac:dyDescent="0.3"/>
  <cols>
    <col min="2" max="2" width="22.88671875" bestFit="1" customWidth="1"/>
  </cols>
  <sheetData>
    <row r="1" spans="1:53" ht="15.6" x14ac:dyDescent="0.3">
      <c r="A1" s="88" t="s">
        <v>75</v>
      </c>
      <c r="B1" s="89" t="s">
        <v>76</v>
      </c>
      <c r="C1" s="406" t="s">
        <v>1</v>
      </c>
      <c r="D1" s="406"/>
      <c r="E1" s="407"/>
      <c r="F1" s="317"/>
      <c r="G1" s="408" t="s">
        <v>2</v>
      </c>
      <c r="H1" s="406"/>
      <c r="I1" s="407"/>
      <c r="J1" s="317"/>
      <c r="K1" s="408" t="s">
        <v>3</v>
      </c>
      <c r="L1" s="406"/>
      <c r="M1" s="407"/>
      <c r="N1" s="317"/>
      <c r="O1" s="408" t="s">
        <v>4</v>
      </c>
      <c r="P1" s="406"/>
      <c r="Q1" s="407"/>
      <c r="R1" s="317"/>
      <c r="S1" s="408" t="s">
        <v>63</v>
      </c>
      <c r="T1" s="406"/>
      <c r="U1" s="407"/>
      <c r="V1" s="317"/>
      <c r="W1" s="408" t="s">
        <v>6</v>
      </c>
      <c r="X1" s="406"/>
      <c r="Y1" s="407"/>
      <c r="Z1" s="317"/>
      <c r="AA1" s="408" t="s">
        <v>77</v>
      </c>
      <c r="AB1" s="406"/>
      <c r="AC1" s="407"/>
      <c r="AD1" s="317"/>
      <c r="AE1" s="408" t="s">
        <v>78</v>
      </c>
      <c r="AF1" s="406"/>
      <c r="AG1" s="407"/>
      <c r="AH1" s="317"/>
      <c r="AI1" s="408" t="s">
        <v>9</v>
      </c>
      <c r="AJ1" s="406"/>
      <c r="AK1" s="407"/>
      <c r="AL1" s="317"/>
      <c r="AM1" s="408" t="s">
        <v>10</v>
      </c>
      <c r="AN1" s="406"/>
      <c r="AO1" s="407"/>
      <c r="AP1" s="317"/>
      <c r="AQ1" s="408" t="s">
        <v>11</v>
      </c>
      <c r="AR1" s="406"/>
      <c r="AS1" s="410"/>
      <c r="AT1" s="358"/>
      <c r="AU1" s="411" t="s">
        <v>79</v>
      </c>
      <c r="AV1" s="412"/>
      <c r="AW1" s="413"/>
      <c r="AX1" s="409" t="s">
        <v>53</v>
      </c>
      <c r="AY1" s="409"/>
      <c r="AZ1" s="409"/>
    </row>
    <row r="2" spans="1:53" ht="15.6" x14ac:dyDescent="0.3">
      <c r="A2" s="92"/>
      <c r="B2" s="89"/>
      <c r="C2" s="90" t="s">
        <v>14</v>
      </c>
      <c r="D2" s="408" t="s">
        <v>15</v>
      </c>
      <c r="E2" s="407"/>
      <c r="F2" s="90"/>
      <c r="G2" s="93" t="s">
        <v>14</v>
      </c>
      <c r="H2" s="408" t="s">
        <v>15</v>
      </c>
      <c r="I2" s="407"/>
      <c r="J2" s="90"/>
      <c r="K2" s="93" t="s">
        <v>14</v>
      </c>
      <c r="L2" s="408" t="s">
        <v>15</v>
      </c>
      <c r="M2" s="407"/>
      <c r="N2" s="90"/>
      <c r="O2" s="93" t="s">
        <v>14</v>
      </c>
      <c r="P2" s="408" t="s">
        <v>15</v>
      </c>
      <c r="Q2" s="407"/>
      <c r="R2" s="90"/>
      <c r="S2" s="93" t="s">
        <v>14</v>
      </c>
      <c r="T2" s="408" t="s">
        <v>15</v>
      </c>
      <c r="U2" s="407"/>
      <c r="V2" s="90"/>
      <c r="W2" s="93" t="s">
        <v>14</v>
      </c>
      <c r="X2" s="408" t="s">
        <v>15</v>
      </c>
      <c r="Y2" s="407"/>
      <c r="Z2" s="90"/>
      <c r="AA2" s="93" t="s">
        <v>14</v>
      </c>
      <c r="AB2" s="408" t="s">
        <v>15</v>
      </c>
      <c r="AC2" s="407"/>
      <c r="AD2" s="90"/>
      <c r="AE2" s="93" t="s">
        <v>14</v>
      </c>
      <c r="AF2" s="408" t="s">
        <v>15</v>
      </c>
      <c r="AG2" s="407"/>
      <c r="AH2" s="90"/>
      <c r="AI2" s="93" t="s">
        <v>14</v>
      </c>
      <c r="AJ2" s="408" t="s">
        <v>15</v>
      </c>
      <c r="AK2" s="407"/>
      <c r="AL2" s="90"/>
      <c r="AM2" s="93" t="s">
        <v>14</v>
      </c>
      <c r="AN2" s="408" t="s">
        <v>15</v>
      </c>
      <c r="AO2" s="407"/>
      <c r="AP2" s="90"/>
      <c r="AQ2" s="93" t="s">
        <v>14</v>
      </c>
      <c r="AR2" s="408" t="s">
        <v>15</v>
      </c>
      <c r="AS2" s="407"/>
      <c r="AT2" s="90"/>
      <c r="AU2" s="93" t="s">
        <v>14</v>
      </c>
      <c r="AV2" s="408" t="s">
        <v>15</v>
      </c>
      <c r="AW2" s="407"/>
      <c r="AX2" s="93" t="s">
        <v>14</v>
      </c>
      <c r="AY2" s="408" t="s">
        <v>15</v>
      </c>
      <c r="AZ2" s="407"/>
    </row>
    <row r="3" spans="1:53" ht="15.6" x14ac:dyDescent="0.3">
      <c r="A3" s="94"/>
      <c r="B3" s="95"/>
      <c r="C3" s="90"/>
      <c r="D3" s="93" t="s">
        <v>70</v>
      </c>
      <c r="E3" s="93" t="s">
        <v>71</v>
      </c>
      <c r="F3" s="93"/>
      <c r="G3" s="93"/>
      <c r="H3" s="93" t="s">
        <v>70</v>
      </c>
      <c r="I3" s="93" t="s">
        <v>71</v>
      </c>
      <c r="J3" s="93"/>
      <c r="K3" s="93"/>
      <c r="L3" s="93" t="s">
        <v>70</v>
      </c>
      <c r="M3" s="93" t="s">
        <v>71</v>
      </c>
      <c r="N3" s="93"/>
      <c r="O3" s="93"/>
      <c r="P3" s="93" t="s">
        <v>70</v>
      </c>
      <c r="Q3" s="93" t="s">
        <v>71</v>
      </c>
      <c r="R3" s="90"/>
      <c r="S3" s="90"/>
      <c r="T3" s="93" t="s">
        <v>70</v>
      </c>
      <c r="U3" s="93" t="s">
        <v>71</v>
      </c>
      <c r="V3" s="93"/>
      <c r="W3" s="93"/>
      <c r="X3" s="93" t="s">
        <v>70</v>
      </c>
      <c r="Y3" s="93" t="s">
        <v>71</v>
      </c>
      <c r="Z3" s="93"/>
      <c r="AA3" s="93"/>
      <c r="AB3" s="93" t="s">
        <v>70</v>
      </c>
      <c r="AC3" s="93" t="s">
        <v>71</v>
      </c>
      <c r="AD3" s="93"/>
      <c r="AE3" s="93"/>
      <c r="AF3" s="93" t="s">
        <v>70</v>
      </c>
      <c r="AG3" s="93" t="s">
        <v>71</v>
      </c>
      <c r="AH3" s="93"/>
      <c r="AI3" s="93"/>
      <c r="AJ3" s="93" t="s">
        <v>70</v>
      </c>
      <c r="AK3" s="93" t="s">
        <v>71</v>
      </c>
      <c r="AL3" s="93"/>
      <c r="AM3" s="93"/>
      <c r="AN3" s="93" t="s">
        <v>70</v>
      </c>
      <c r="AO3" s="93" t="s">
        <v>71</v>
      </c>
      <c r="AP3" s="93"/>
      <c r="AQ3" s="93"/>
      <c r="AR3" s="93" t="s">
        <v>70</v>
      </c>
      <c r="AS3" s="93" t="s">
        <v>71</v>
      </c>
      <c r="AT3" s="358"/>
      <c r="AU3" s="91"/>
      <c r="AV3" s="93" t="s">
        <v>70</v>
      </c>
      <c r="AW3" s="93" t="s">
        <v>71</v>
      </c>
      <c r="AX3" s="91"/>
      <c r="AY3" s="91" t="s">
        <v>70</v>
      </c>
      <c r="AZ3" s="91" t="s">
        <v>71</v>
      </c>
    </row>
    <row r="4" spans="1:53" ht="15.6" x14ac:dyDescent="0.3">
      <c r="A4" s="96">
        <v>1</v>
      </c>
      <c r="B4" s="97" t="s">
        <v>20</v>
      </c>
      <c r="C4" s="98"/>
      <c r="D4" s="99"/>
      <c r="E4" s="99"/>
      <c r="F4" s="99"/>
      <c r="G4" s="99"/>
      <c r="H4" s="99"/>
      <c r="I4" s="99"/>
      <c r="J4" s="99"/>
      <c r="K4" s="99">
        <v>3.4319999999999999</v>
      </c>
      <c r="L4" s="99">
        <v>142.99799999999999</v>
      </c>
      <c r="M4" s="99"/>
      <c r="N4" s="99"/>
      <c r="O4" s="99"/>
      <c r="P4" s="100"/>
      <c r="Q4" s="101"/>
      <c r="R4" s="355"/>
      <c r="S4" s="98"/>
      <c r="T4" s="102"/>
      <c r="U4" s="99"/>
      <c r="V4" s="99"/>
      <c r="W4" s="99">
        <v>3.09</v>
      </c>
      <c r="X4" s="99">
        <v>20.274999999999999</v>
      </c>
      <c r="Y4" s="99"/>
      <c r="Z4" s="99"/>
      <c r="AA4" s="99">
        <v>5.9710000000000001</v>
      </c>
      <c r="AB4" s="99">
        <v>61.356000000000002</v>
      </c>
      <c r="AC4" s="99"/>
      <c r="AD4" s="99"/>
      <c r="AE4" s="99"/>
      <c r="AF4" s="99"/>
      <c r="AG4" s="99"/>
      <c r="AH4" s="99"/>
      <c r="AI4" s="99">
        <v>0.56799999999999995</v>
      </c>
      <c r="AJ4" s="99">
        <v>3.395</v>
      </c>
      <c r="AK4" s="99"/>
      <c r="AL4" s="99"/>
      <c r="AM4" s="99">
        <v>1.6639999999999999</v>
      </c>
      <c r="AN4" s="99">
        <v>19.032</v>
      </c>
      <c r="AO4" s="99"/>
      <c r="AP4" s="99"/>
      <c r="AQ4" s="99"/>
      <c r="AR4" s="99"/>
      <c r="AS4" s="99"/>
      <c r="AT4" s="103"/>
      <c r="AU4" s="103">
        <v>4.3040000000000003</v>
      </c>
      <c r="AV4" s="103">
        <v>22.47</v>
      </c>
      <c r="AW4" s="104"/>
      <c r="AX4" s="105">
        <f t="shared" ref="AX4:AX32" si="0">C4+G4+K4+O4+S4+W4+AA4+AE4+AI4+AM4+AQ4+AU4</f>
        <v>19.029</v>
      </c>
      <c r="AY4" s="105">
        <f t="shared" ref="AY4:AY32" si="1">D4+H4+L4+P4+T4+X4+AB4+AF4+AJ4+AN4+AR4+AV4</f>
        <v>269.52600000000001</v>
      </c>
      <c r="AZ4" s="105">
        <f t="shared" ref="AZ4:AZ32" si="2">E4+I4+M4+Q4+U4+Y4+AC4+AG4+AK4+AO4+AS4+AW4</f>
        <v>0</v>
      </c>
      <c r="BA4">
        <f>(AZ4+AY4)/AX4</f>
        <v>14.163960271165065</v>
      </c>
    </row>
    <row r="5" spans="1:53" ht="15.6" x14ac:dyDescent="0.3">
      <c r="A5" s="96">
        <v>2</v>
      </c>
      <c r="B5" s="106" t="s">
        <v>64</v>
      </c>
      <c r="C5" s="107">
        <v>3.6359999999999999E-3</v>
      </c>
      <c r="D5" s="108">
        <v>0</v>
      </c>
      <c r="E5" s="108">
        <v>2.1771111111111109E-2</v>
      </c>
      <c r="F5" s="108"/>
      <c r="G5" s="108">
        <v>0</v>
      </c>
      <c r="H5" s="108">
        <v>0</v>
      </c>
      <c r="I5" s="108">
        <v>0</v>
      </c>
      <c r="J5" s="108"/>
      <c r="K5" s="108">
        <v>0</v>
      </c>
      <c r="L5" s="108">
        <v>0</v>
      </c>
      <c r="M5" s="108">
        <v>0</v>
      </c>
      <c r="N5" s="108"/>
      <c r="O5" s="108">
        <v>3.5855000000000001E-3</v>
      </c>
      <c r="P5" s="108">
        <v>0</v>
      </c>
      <c r="Q5" s="108">
        <v>2.0199999999999999E-2</v>
      </c>
      <c r="R5" s="108"/>
      <c r="S5" s="108">
        <v>0</v>
      </c>
      <c r="T5" s="108">
        <v>0</v>
      </c>
      <c r="U5" s="108">
        <v>0</v>
      </c>
      <c r="V5" s="108"/>
      <c r="W5" s="108">
        <v>0</v>
      </c>
      <c r="X5" s="108">
        <v>0</v>
      </c>
      <c r="Y5" s="108">
        <v>0</v>
      </c>
      <c r="Z5" s="108"/>
      <c r="AA5" s="108">
        <v>4.444E-3</v>
      </c>
      <c r="AB5" s="108">
        <v>4.0400000000000002E-3</v>
      </c>
      <c r="AC5" s="108">
        <v>0</v>
      </c>
      <c r="AD5" s="108"/>
      <c r="AE5" s="108">
        <v>0</v>
      </c>
      <c r="AF5" s="108">
        <v>0</v>
      </c>
      <c r="AG5" s="108">
        <v>0</v>
      </c>
      <c r="AH5" s="108"/>
      <c r="AI5" s="108">
        <v>4.5449999999999996E-3</v>
      </c>
      <c r="AJ5" s="108">
        <v>0</v>
      </c>
      <c r="AK5" s="108">
        <v>2.9177777777777782E-2</v>
      </c>
      <c r="AL5" s="108"/>
      <c r="AM5" s="108">
        <v>0</v>
      </c>
      <c r="AN5" s="108">
        <v>0</v>
      </c>
      <c r="AO5" s="108">
        <v>0</v>
      </c>
      <c r="AP5" s="108"/>
      <c r="AQ5" s="108">
        <v>0</v>
      </c>
      <c r="AR5" s="108">
        <v>0</v>
      </c>
      <c r="AS5" s="108">
        <v>0</v>
      </c>
      <c r="AT5" s="108"/>
      <c r="AU5" s="108">
        <v>7.5851E-3</v>
      </c>
      <c r="AV5" s="108">
        <v>7.1609000000000013E-3</v>
      </c>
      <c r="AW5" s="108">
        <v>0</v>
      </c>
      <c r="AX5" s="105">
        <f t="shared" si="0"/>
        <v>2.37956E-2</v>
      </c>
      <c r="AY5" s="105">
        <f t="shared" si="1"/>
        <v>1.1200900000000001E-2</v>
      </c>
      <c r="AZ5" s="105">
        <f t="shared" si="2"/>
        <v>7.11488888888889E-2</v>
      </c>
      <c r="BA5">
        <f t="shared" ref="BA5:BA33" si="3">(AZ5+AY5)/AX5</f>
        <v>3.4607149594416153</v>
      </c>
    </row>
    <row r="6" spans="1:53" ht="15.6" x14ac:dyDescent="0.3">
      <c r="A6" s="96">
        <v>3</v>
      </c>
      <c r="B6" s="109" t="s">
        <v>22</v>
      </c>
      <c r="C6" s="98">
        <v>0.124</v>
      </c>
      <c r="D6" s="99">
        <v>0.81499999999999995</v>
      </c>
      <c r="E6" s="99">
        <f>205/180</f>
        <v>1.1388888888888888</v>
      </c>
      <c r="F6" s="99"/>
      <c r="G6" s="99">
        <v>0.184</v>
      </c>
      <c r="H6" s="99">
        <v>1.2110000000000001</v>
      </c>
      <c r="I6" s="99">
        <f>310/210</f>
        <v>1.4761904761904763</v>
      </c>
      <c r="J6" s="99"/>
      <c r="K6" s="99">
        <v>0.24399999999999999</v>
      </c>
      <c r="L6" s="99">
        <v>1.667</v>
      </c>
      <c r="M6" s="99">
        <f>420/180</f>
        <v>2.3333333333333335</v>
      </c>
      <c r="N6" s="99"/>
      <c r="O6" s="99">
        <v>0.755</v>
      </c>
      <c r="P6" s="100">
        <v>5.2069999999999999</v>
      </c>
      <c r="Q6" s="101">
        <f>1310/175</f>
        <v>7.4857142857142858</v>
      </c>
      <c r="R6" s="355"/>
      <c r="S6" s="98">
        <v>0.42399999999999999</v>
      </c>
      <c r="T6" s="102">
        <v>2.7949999999999999</v>
      </c>
      <c r="U6" s="99">
        <f>687/80</f>
        <v>8.5875000000000004</v>
      </c>
      <c r="V6" s="99"/>
      <c r="W6" s="99">
        <v>0.26400000000000001</v>
      </c>
      <c r="X6" s="99">
        <v>1.7390000000000001</v>
      </c>
      <c r="Y6" s="99">
        <f>415/180</f>
        <v>2.3055555555555554</v>
      </c>
      <c r="Z6" s="99"/>
      <c r="AA6" s="99">
        <v>0.60399999999999998</v>
      </c>
      <c r="AB6" s="99">
        <v>3.9830000000000001</v>
      </c>
      <c r="AC6" s="99">
        <f>1030/180</f>
        <v>5.7222222222222223</v>
      </c>
      <c r="AD6" s="99"/>
      <c r="AE6" s="99">
        <v>0.72499999999999998</v>
      </c>
      <c r="AF6" s="99">
        <v>4.7750000000000004</v>
      </c>
      <c r="AG6" s="99">
        <f>1220/130</f>
        <v>9.384615384615385</v>
      </c>
      <c r="AH6" s="99"/>
      <c r="AI6" s="99">
        <v>0.40400000000000003</v>
      </c>
      <c r="AJ6" s="99">
        <v>2.6629999999999998</v>
      </c>
      <c r="AK6" s="99">
        <f>700/130</f>
        <v>5.384615384615385</v>
      </c>
      <c r="AL6" s="99"/>
      <c r="AM6" s="99">
        <v>0.33900000000000002</v>
      </c>
      <c r="AN6" s="99">
        <v>2.238</v>
      </c>
      <c r="AO6" s="99">
        <f>600/180</f>
        <v>3.3333333333333335</v>
      </c>
      <c r="AP6" s="99"/>
      <c r="AQ6" s="99"/>
      <c r="AR6" s="99"/>
      <c r="AS6" s="99"/>
      <c r="AT6" s="99"/>
      <c r="AU6" s="99">
        <v>0.96499999999999997</v>
      </c>
      <c r="AV6" s="99">
        <v>6.6630000000000003</v>
      </c>
      <c r="AW6" s="110">
        <f>1520/180</f>
        <v>8.4444444444444446</v>
      </c>
      <c r="AX6" s="105">
        <f t="shared" si="0"/>
        <v>5.032</v>
      </c>
      <c r="AY6" s="105">
        <f t="shared" si="1"/>
        <v>33.756</v>
      </c>
      <c r="AZ6" s="105">
        <f t="shared" si="2"/>
        <v>55.596413308913313</v>
      </c>
      <c r="BA6">
        <f t="shared" si="3"/>
        <v>17.756838892868306</v>
      </c>
    </row>
    <row r="7" spans="1:53" ht="15.6" x14ac:dyDescent="0.3">
      <c r="A7" s="96">
        <v>4</v>
      </c>
      <c r="B7" s="109" t="s">
        <v>23</v>
      </c>
      <c r="C7" s="107"/>
      <c r="D7" s="108"/>
      <c r="E7" s="108"/>
      <c r="F7" s="108"/>
      <c r="G7" s="108"/>
      <c r="H7" s="108"/>
      <c r="I7" s="108"/>
      <c r="J7" s="108"/>
      <c r="K7" s="108"/>
      <c r="L7" s="108"/>
      <c r="M7" s="108">
        <v>0</v>
      </c>
      <c r="N7" s="108"/>
      <c r="O7" s="108"/>
      <c r="P7" s="108"/>
      <c r="Q7" s="108">
        <v>0</v>
      </c>
      <c r="R7" s="108"/>
      <c r="S7" s="108"/>
      <c r="T7" s="108"/>
      <c r="U7" s="108">
        <v>0</v>
      </c>
      <c r="V7" s="108"/>
      <c r="W7" s="108"/>
      <c r="X7" s="108"/>
      <c r="Y7" s="108">
        <v>0</v>
      </c>
      <c r="Z7" s="108"/>
      <c r="AA7" s="108"/>
      <c r="AB7" s="108"/>
      <c r="AC7" s="108">
        <v>0</v>
      </c>
      <c r="AD7" s="108"/>
      <c r="AE7" s="108"/>
      <c r="AF7" s="108"/>
      <c r="AG7" s="108">
        <v>0</v>
      </c>
      <c r="AH7" s="108"/>
      <c r="AI7" s="108"/>
      <c r="AJ7" s="108"/>
      <c r="AK7" s="108">
        <v>0</v>
      </c>
      <c r="AL7" s="108"/>
      <c r="AM7" s="108"/>
      <c r="AN7" s="108"/>
      <c r="AO7" s="108">
        <v>0</v>
      </c>
      <c r="AP7" s="108"/>
      <c r="AQ7" s="108"/>
      <c r="AR7" s="108"/>
      <c r="AS7" s="108"/>
      <c r="AT7" s="108"/>
      <c r="AU7" s="108">
        <v>0.6625297</v>
      </c>
      <c r="AV7" s="108">
        <v>7.9562750000000007</v>
      </c>
      <c r="AW7" s="108">
        <v>1.0145449999999999E-3</v>
      </c>
      <c r="AX7" s="105">
        <f t="shared" si="0"/>
        <v>0.6625297</v>
      </c>
      <c r="AY7" s="105">
        <f t="shared" si="1"/>
        <v>7.9562750000000007</v>
      </c>
      <c r="AZ7" s="105">
        <f t="shared" si="2"/>
        <v>1.0145449999999999E-3</v>
      </c>
      <c r="BA7">
        <f t="shared" si="3"/>
        <v>12.010464655395827</v>
      </c>
    </row>
    <row r="8" spans="1:53" ht="15.6" x14ac:dyDescent="0.3">
      <c r="A8" s="96">
        <v>5</v>
      </c>
      <c r="B8" s="109" t="s">
        <v>57</v>
      </c>
      <c r="C8" s="98"/>
      <c r="D8" s="99"/>
      <c r="E8" s="99"/>
      <c r="F8" s="99"/>
      <c r="G8" s="99"/>
      <c r="H8" s="99"/>
      <c r="I8" s="99"/>
      <c r="J8" s="99"/>
      <c r="K8" s="99">
        <v>0.28599999999999998</v>
      </c>
      <c r="L8" s="99">
        <v>0.90100000000000002</v>
      </c>
      <c r="M8" s="99"/>
      <c r="N8" s="99"/>
      <c r="O8" s="99"/>
      <c r="P8" s="100"/>
      <c r="Q8" s="101"/>
      <c r="R8" s="101"/>
      <c r="S8" s="110">
        <v>1.819</v>
      </c>
      <c r="T8" s="111">
        <v>0.68600000000000005</v>
      </c>
      <c r="U8" s="112">
        <f>2299/80</f>
        <v>28.737500000000001</v>
      </c>
      <c r="V8" s="356"/>
      <c r="W8" s="98">
        <v>4.1000000000000002E-2</v>
      </c>
      <c r="X8" s="99">
        <v>6.7000000000000004E-2</v>
      </c>
      <c r="Y8" s="99"/>
      <c r="Z8" s="99"/>
      <c r="AA8" s="99">
        <f>4.46+0.039</f>
        <v>4.4989999999999997</v>
      </c>
      <c r="AB8" s="99">
        <f>0.327+32.926</f>
        <v>33.253</v>
      </c>
      <c r="AC8" s="99"/>
      <c r="AD8" s="99"/>
      <c r="AE8" s="99"/>
      <c r="AF8" s="99"/>
      <c r="AG8" s="99"/>
      <c r="AH8" s="99"/>
      <c r="AI8" s="99">
        <f>0.027+1.2</f>
        <v>1.2269999999999999</v>
      </c>
      <c r="AJ8" s="99">
        <v>0.11600000000000001</v>
      </c>
      <c r="AK8" s="99">
        <f>(5735+144)/130</f>
        <v>45.223076923076924</v>
      </c>
      <c r="AL8" s="99"/>
      <c r="AM8" s="99">
        <v>1.3919999999999999</v>
      </c>
      <c r="AN8" s="99">
        <v>5.5750000000000002</v>
      </c>
      <c r="AO8" s="99"/>
      <c r="AP8" s="99"/>
      <c r="AQ8" s="99"/>
      <c r="AR8" s="99"/>
      <c r="AS8" s="99"/>
      <c r="AT8" s="99"/>
      <c r="AU8" s="99">
        <v>2.6520000000000001</v>
      </c>
      <c r="AV8" s="99">
        <v>7.7770000000000001</v>
      </c>
      <c r="AW8" s="110">
        <f>3524/180</f>
        <v>19.577777777777779</v>
      </c>
      <c r="AX8" s="105">
        <f t="shared" si="0"/>
        <v>11.916</v>
      </c>
      <c r="AY8" s="105">
        <f t="shared" si="1"/>
        <v>48.375000000000007</v>
      </c>
      <c r="AZ8" s="105">
        <f t="shared" si="2"/>
        <v>93.538354700854711</v>
      </c>
      <c r="BA8">
        <f t="shared" si="3"/>
        <v>11.909479246463134</v>
      </c>
    </row>
    <row r="9" spans="1:53" ht="15.6" x14ac:dyDescent="0.3">
      <c r="A9" s="96">
        <v>6</v>
      </c>
      <c r="B9" s="109" t="s">
        <v>29</v>
      </c>
      <c r="C9" s="98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100"/>
      <c r="Q9" s="101"/>
      <c r="R9" s="355"/>
      <c r="S9" s="113"/>
      <c r="T9" s="114"/>
      <c r="U9" s="103"/>
      <c r="V9" s="103"/>
      <c r="W9" s="99"/>
      <c r="X9" s="99"/>
      <c r="Y9" s="99"/>
      <c r="Z9" s="99"/>
      <c r="AA9" s="99">
        <v>8.8070000000000004</v>
      </c>
      <c r="AB9" s="99">
        <v>84.947190000000006</v>
      </c>
      <c r="AC9" s="99"/>
      <c r="AD9" s="99"/>
      <c r="AE9" s="99"/>
      <c r="AF9" s="99"/>
      <c r="AG9" s="99"/>
      <c r="AH9" s="99"/>
      <c r="AI9" s="99">
        <v>4.53</v>
      </c>
      <c r="AJ9" s="99">
        <v>41.525170000000003</v>
      </c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>
        <f>2.363+0.844+4.097</f>
        <v>7.3040000000000003</v>
      </c>
      <c r="AV9" s="99">
        <f>21.03568+40.83301+7.64078</f>
        <v>69.509470000000007</v>
      </c>
      <c r="AW9" s="110"/>
      <c r="AX9" s="105">
        <f t="shared" si="0"/>
        <v>20.640999999999998</v>
      </c>
      <c r="AY9" s="105">
        <f t="shared" si="1"/>
        <v>195.98183</v>
      </c>
      <c r="AZ9" s="105">
        <f t="shared" si="2"/>
        <v>0</v>
      </c>
      <c r="BA9">
        <f t="shared" si="3"/>
        <v>9.4947836829610974</v>
      </c>
    </row>
    <row r="10" spans="1:53" ht="15.6" x14ac:dyDescent="0.3">
      <c r="A10" s="96">
        <v>7</v>
      </c>
      <c r="B10" s="109" t="s">
        <v>30</v>
      </c>
      <c r="C10" s="98"/>
      <c r="D10" s="99"/>
      <c r="E10" s="99"/>
      <c r="F10" s="99"/>
      <c r="G10" s="99"/>
      <c r="H10" s="99"/>
      <c r="I10" s="99"/>
      <c r="J10" s="99"/>
      <c r="K10" s="99">
        <v>2.5000000000000001E-2</v>
      </c>
      <c r="L10" s="99">
        <v>2.8000000000000001E-2</v>
      </c>
      <c r="M10" s="99">
        <f>11/180</f>
        <v>6.1111111111111109E-2</v>
      </c>
      <c r="N10" s="99"/>
      <c r="O10" s="99">
        <v>3.7999999999999999E-2</v>
      </c>
      <c r="P10" s="100"/>
      <c r="Q10" s="101">
        <f>197/175</f>
        <v>1.1257142857142857</v>
      </c>
      <c r="R10" s="355"/>
      <c r="S10" s="98">
        <v>0.14499999999999999</v>
      </c>
      <c r="T10" s="102"/>
      <c r="U10" s="99">
        <v>0.11799999999999999</v>
      </c>
      <c r="V10" s="99"/>
      <c r="W10" s="99"/>
      <c r="X10" s="99"/>
      <c r="Y10" s="99"/>
      <c r="Z10" s="99"/>
      <c r="AA10" s="99">
        <v>4.9359999999999999</v>
      </c>
      <c r="AB10" s="99">
        <v>54.933999999999997</v>
      </c>
      <c r="AC10" s="99"/>
      <c r="AD10" s="99"/>
      <c r="AE10" s="99"/>
      <c r="AF10" s="99"/>
      <c r="AG10" s="99"/>
      <c r="AH10" s="99"/>
      <c r="AI10" s="99">
        <f>0.016+0.137</f>
        <v>0.15300000000000002</v>
      </c>
      <c r="AJ10" s="99">
        <v>1.0880000000000001</v>
      </c>
      <c r="AK10" s="99">
        <f>113/130</f>
        <v>0.86923076923076925</v>
      </c>
      <c r="AL10" s="99"/>
      <c r="AM10" s="99">
        <v>3.6999999999999998E-2</v>
      </c>
      <c r="AN10" s="99"/>
      <c r="AO10" s="99">
        <f>54/180</f>
        <v>0.3</v>
      </c>
      <c r="AP10" s="99"/>
      <c r="AQ10" s="99"/>
      <c r="AR10" s="99"/>
      <c r="AS10" s="99"/>
      <c r="AT10" s="99"/>
      <c r="AU10" s="99">
        <f>0.047+0.133</f>
        <v>0.18</v>
      </c>
      <c r="AV10" s="99">
        <v>0.18</v>
      </c>
      <c r="AW10" s="110">
        <f>186/180</f>
        <v>1.0333333333333334</v>
      </c>
      <c r="AX10" s="105">
        <f t="shared" si="0"/>
        <v>5.5140000000000002</v>
      </c>
      <c r="AY10" s="105">
        <f t="shared" si="1"/>
        <v>56.23</v>
      </c>
      <c r="AZ10" s="105">
        <f t="shared" si="2"/>
        <v>3.5073894993894994</v>
      </c>
      <c r="BA10">
        <f t="shared" si="3"/>
        <v>10.833766684691602</v>
      </c>
    </row>
    <row r="11" spans="1:53" ht="15.6" x14ac:dyDescent="0.3">
      <c r="A11" s="96">
        <v>8</v>
      </c>
      <c r="B11" s="109" t="s">
        <v>31</v>
      </c>
      <c r="C11" s="98"/>
      <c r="D11" s="99"/>
      <c r="E11" s="99"/>
      <c r="F11" s="99"/>
      <c r="G11" s="99">
        <v>5.0209999999999998E-2</v>
      </c>
      <c r="H11" s="99">
        <v>0</v>
      </c>
      <c r="I11" s="99">
        <f>502.1/210</f>
        <v>2.3909523809523812</v>
      </c>
      <c r="J11" s="99"/>
      <c r="K11" s="99">
        <f>0.0635+0.20042</f>
        <v>0.26391999999999999</v>
      </c>
      <c r="L11" s="99">
        <v>8.8179999999999996</v>
      </c>
      <c r="M11" s="99">
        <f>342.9/180</f>
        <v>1.9049999999999998</v>
      </c>
      <c r="N11" s="99"/>
      <c r="O11" s="99">
        <v>7.0299999999999998E-3</v>
      </c>
      <c r="P11" s="100"/>
      <c r="Q11" s="101">
        <f>84.36/175</f>
        <v>0.48205714285714285</v>
      </c>
      <c r="R11" s="355"/>
      <c r="S11" s="98">
        <v>5.9540000000000003E-2</v>
      </c>
      <c r="T11" s="102"/>
      <c r="U11" s="99">
        <f>119.08/80</f>
        <v>1.4884999999999999</v>
      </c>
      <c r="V11" s="99"/>
      <c r="W11" s="99"/>
      <c r="X11" s="99"/>
      <c r="Y11" s="99"/>
      <c r="Z11" s="99"/>
      <c r="AA11" s="99">
        <v>0.16911999999999999</v>
      </c>
      <c r="AB11" s="99">
        <v>9.1319999999999997</v>
      </c>
      <c r="AC11" s="99"/>
      <c r="AD11" s="99"/>
      <c r="AE11" s="99"/>
      <c r="AF11" s="99"/>
      <c r="AG11" s="99"/>
      <c r="AH11" s="99"/>
      <c r="AI11" s="99">
        <v>3.9820000000000001E-2</v>
      </c>
      <c r="AJ11" s="99"/>
      <c r="AK11" s="99">
        <f>378.29/130</f>
        <v>2.9099230769230773</v>
      </c>
      <c r="AL11" s="99"/>
      <c r="AM11" s="99"/>
      <c r="AN11" s="99"/>
      <c r="AO11" s="99"/>
      <c r="AP11" s="99"/>
      <c r="AQ11" s="99"/>
      <c r="AR11" s="99"/>
      <c r="AS11" s="99"/>
      <c r="AT11" s="99"/>
      <c r="AU11" s="99">
        <v>0.11897000000000001</v>
      </c>
      <c r="AV11" s="99">
        <v>5.9999999999999995E-4</v>
      </c>
      <c r="AW11" s="110">
        <f>67.885/180</f>
        <v>0.37713888888888891</v>
      </c>
      <c r="AX11" s="105">
        <f t="shared" si="0"/>
        <v>0.70860999999999996</v>
      </c>
      <c r="AY11" s="105">
        <f t="shared" si="1"/>
        <v>17.950599999999998</v>
      </c>
      <c r="AZ11" s="105">
        <f t="shared" si="2"/>
        <v>9.5535714896214898</v>
      </c>
      <c r="BA11">
        <f t="shared" si="3"/>
        <v>38.814258180976118</v>
      </c>
    </row>
    <row r="12" spans="1:53" ht="15.6" x14ac:dyDescent="0.3">
      <c r="A12" s="96">
        <v>9</v>
      </c>
      <c r="B12" s="109" t="s">
        <v>32</v>
      </c>
      <c r="C12" s="98">
        <v>0.16159999999999999</v>
      </c>
      <c r="D12" s="99">
        <v>0</v>
      </c>
      <c r="E12" s="99">
        <v>0</v>
      </c>
      <c r="F12" s="99"/>
      <c r="G12" s="99">
        <v>2.7875999999999999</v>
      </c>
      <c r="H12" s="99">
        <v>0</v>
      </c>
      <c r="I12" s="99">
        <v>0.15323142857142857</v>
      </c>
      <c r="J12" s="99"/>
      <c r="K12" s="99">
        <v>3.8177999999999996</v>
      </c>
      <c r="L12" s="99">
        <v>2.5855999999999999</v>
      </c>
      <c r="M12" s="99">
        <v>1.4196111111111109E-2</v>
      </c>
      <c r="N12" s="99"/>
      <c r="O12" s="99">
        <v>3.0300000000000001E-3</v>
      </c>
      <c r="P12" s="100">
        <v>0</v>
      </c>
      <c r="Q12" s="101">
        <v>0</v>
      </c>
      <c r="R12" s="355"/>
      <c r="S12" s="98">
        <v>3.4340000000000002E-2</v>
      </c>
      <c r="T12" s="102">
        <v>0</v>
      </c>
      <c r="U12" s="99">
        <v>0</v>
      </c>
      <c r="V12" s="99"/>
      <c r="W12" s="99">
        <v>0</v>
      </c>
      <c r="X12" s="99">
        <v>0</v>
      </c>
      <c r="Y12" s="99">
        <v>1.1222222222222222E-3</v>
      </c>
      <c r="Z12" s="99"/>
      <c r="AA12" s="99">
        <v>0.33431</v>
      </c>
      <c r="AB12" s="99">
        <v>0.26563000000000003</v>
      </c>
      <c r="AC12" s="99">
        <v>0</v>
      </c>
      <c r="AD12" s="99"/>
      <c r="AE12" s="99">
        <v>0</v>
      </c>
      <c r="AF12" s="99">
        <v>0</v>
      </c>
      <c r="AG12" s="99">
        <v>0</v>
      </c>
      <c r="AH12" s="99"/>
      <c r="AI12" s="99">
        <v>1.9189999999999999E-2</v>
      </c>
      <c r="AJ12" s="99">
        <v>1.515E-2</v>
      </c>
      <c r="AK12" s="99">
        <v>0</v>
      </c>
      <c r="AL12" s="99"/>
      <c r="AM12" s="99">
        <v>0.79790000000000005</v>
      </c>
      <c r="AN12" s="99">
        <v>1.01E-2</v>
      </c>
      <c r="AO12" s="99">
        <v>1.963888888888889E-2</v>
      </c>
      <c r="AP12" s="99"/>
      <c r="AQ12" s="99">
        <v>1.8179999999999998E-2</v>
      </c>
      <c r="AR12" s="99">
        <v>0</v>
      </c>
      <c r="AS12" s="99">
        <v>0.10475944444444445</v>
      </c>
      <c r="AT12" s="99"/>
      <c r="AU12" s="99">
        <v>41.601900000000001</v>
      </c>
      <c r="AV12" s="99">
        <v>26.825599999999998</v>
      </c>
      <c r="AW12" s="110">
        <v>0.10200999999999999</v>
      </c>
      <c r="AX12" s="105">
        <f t="shared" si="0"/>
        <v>49.575850000000003</v>
      </c>
      <c r="AY12" s="105">
        <f t="shared" si="1"/>
        <v>29.702079999999999</v>
      </c>
      <c r="AZ12" s="105">
        <f t="shared" si="2"/>
        <v>0.39495809523809522</v>
      </c>
      <c r="BA12">
        <f t="shared" si="3"/>
        <v>0.60709071241820545</v>
      </c>
    </row>
    <row r="13" spans="1:53" ht="15.6" x14ac:dyDescent="0.3">
      <c r="A13" s="96">
        <v>10</v>
      </c>
      <c r="B13" s="109" t="s">
        <v>33</v>
      </c>
      <c r="C13" s="98"/>
      <c r="D13" s="99"/>
      <c r="E13" s="99"/>
      <c r="F13" s="99"/>
      <c r="G13" s="99"/>
      <c r="H13" s="99"/>
      <c r="I13" s="99">
        <v>0</v>
      </c>
      <c r="J13" s="99"/>
      <c r="K13" s="99"/>
      <c r="L13" s="99"/>
      <c r="M13" s="99"/>
      <c r="N13" s="99"/>
      <c r="O13" s="99"/>
      <c r="P13" s="100"/>
      <c r="Q13" s="101">
        <v>0</v>
      </c>
      <c r="R13" s="355"/>
      <c r="S13" s="98"/>
      <c r="T13" s="102"/>
      <c r="U13" s="99">
        <v>0</v>
      </c>
      <c r="V13" s="99"/>
      <c r="W13" s="99"/>
      <c r="X13" s="99"/>
      <c r="Y13" s="99">
        <v>0</v>
      </c>
      <c r="Z13" s="99"/>
      <c r="AA13" s="99"/>
      <c r="AB13" s="99"/>
      <c r="AC13" s="99">
        <v>0</v>
      </c>
      <c r="AD13" s="99"/>
      <c r="AE13" s="99"/>
      <c r="AF13" s="99"/>
      <c r="AG13" s="99">
        <v>0</v>
      </c>
      <c r="AH13" s="99"/>
      <c r="AI13" s="99"/>
      <c r="AJ13" s="99"/>
      <c r="AK13" s="99">
        <v>0</v>
      </c>
      <c r="AL13" s="99"/>
      <c r="AM13" s="99"/>
      <c r="AN13" s="99"/>
      <c r="AO13" s="99">
        <v>0</v>
      </c>
      <c r="AP13" s="99"/>
      <c r="AQ13" s="99"/>
      <c r="AR13" s="99"/>
      <c r="AS13" s="99"/>
      <c r="AT13" s="99"/>
      <c r="AU13" s="99">
        <v>1.05</v>
      </c>
      <c r="AV13" s="99">
        <v>13.332000000000001</v>
      </c>
      <c r="AW13" s="110">
        <v>29.669</v>
      </c>
      <c r="AX13" s="105">
        <f t="shared" si="0"/>
        <v>1.05</v>
      </c>
      <c r="AY13" s="105">
        <f t="shared" si="1"/>
        <v>13.332000000000001</v>
      </c>
      <c r="AZ13" s="105">
        <f t="shared" si="2"/>
        <v>29.669</v>
      </c>
      <c r="BA13">
        <f t="shared" si="3"/>
        <v>40.953333333333333</v>
      </c>
    </row>
    <row r="14" spans="1:53" ht="15.6" x14ac:dyDescent="0.3">
      <c r="A14" s="96">
        <v>11</v>
      </c>
      <c r="B14" s="109" t="s">
        <v>34</v>
      </c>
      <c r="C14" s="98">
        <v>0.11600000000000001</v>
      </c>
      <c r="D14" s="99">
        <v>0.251</v>
      </c>
      <c r="E14" s="99">
        <v>6.0999999999999999E-2</v>
      </c>
      <c r="F14" s="99"/>
      <c r="G14" s="99">
        <v>7.400000000000001E-2</v>
      </c>
      <c r="H14" s="99">
        <v>4.0000000000000001E-3</v>
      </c>
      <c r="I14" s="99">
        <v>6.633</v>
      </c>
      <c r="J14" s="99"/>
      <c r="K14" s="99">
        <v>5.2080000000000002</v>
      </c>
      <c r="L14" s="99">
        <v>55.922999999999995</v>
      </c>
      <c r="M14" s="99">
        <v>2.2109999999999999</v>
      </c>
      <c r="N14" s="99"/>
      <c r="O14" s="99">
        <v>0.249</v>
      </c>
      <c r="P14" s="100">
        <v>1.6E-2</v>
      </c>
      <c r="Q14" s="101">
        <v>2.4E-2</v>
      </c>
      <c r="R14" s="355"/>
      <c r="S14" s="98">
        <v>0.33500000000000002</v>
      </c>
      <c r="T14" s="102">
        <v>0.85799999999999998</v>
      </c>
      <c r="U14" s="99">
        <v>4.9000000000000004</v>
      </c>
      <c r="V14" s="99"/>
      <c r="W14" s="99">
        <v>6.1980000000000004</v>
      </c>
      <c r="X14" s="99">
        <v>39.033999999999999</v>
      </c>
      <c r="Y14" s="99">
        <v>0.38900000000000001</v>
      </c>
      <c r="Z14" s="99"/>
      <c r="AA14" s="99">
        <v>10.909000000000001</v>
      </c>
      <c r="AB14" s="99">
        <v>92.546999999999997</v>
      </c>
      <c r="AC14" s="99">
        <v>1.111</v>
      </c>
      <c r="AD14" s="99"/>
      <c r="AE14" s="99"/>
      <c r="AF14" s="99"/>
      <c r="AG14" s="99"/>
      <c r="AH14" s="99"/>
      <c r="AI14" s="99">
        <v>2.8689999999999998</v>
      </c>
      <c r="AJ14" s="99">
        <v>2.2410000000000001</v>
      </c>
      <c r="AK14" s="99">
        <v>46.414999999999999</v>
      </c>
      <c r="AL14" s="99"/>
      <c r="AM14" s="99">
        <v>2.0379999999999998</v>
      </c>
      <c r="AN14" s="99">
        <v>15.798</v>
      </c>
      <c r="AO14" s="99">
        <v>0.53300000000000003</v>
      </c>
      <c r="AP14" s="99"/>
      <c r="AQ14" s="99"/>
      <c r="AR14" s="99"/>
      <c r="AS14" s="99"/>
      <c r="AT14" s="99"/>
      <c r="AU14" s="99">
        <f>24.075+0.296</f>
        <v>24.370999999999999</v>
      </c>
      <c r="AV14" s="99">
        <f>2.035+30.027</f>
        <v>32.061999999999998</v>
      </c>
      <c r="AW14" s="110">
        <v>3.3000000000000002E-2</v>
      </c>
      <c r="AX14" s="105">
        <f t="shared" si="0"/>
        <v>52.366999999999997</v>
      </c>
      <c r="AY14" s="105">
        <f t="shared" si="1"/>
        <v>238.73399999999998</v>
      </c>
      <c r="AZ14" s="105">
        <f t="shared" si="2"/>
        <v>62.31</v>
      </c>
      <c r="BA14">
        <f t="shared" si="3"/>
        <v>5.7487348902935054</v>
      </c>
    </row>
    <row r="15" spans="1:53" ht="15.6" x14ac:dyDescent="0.3">
      <c r="A15" s="96">
        <v>12</v>
      </c>
      <c r="B15" s="109" t="s">
        <v>35</v>
      </c>
      <c r="C15" s="98">
        <v>1E-3</v>
      </c>
      <c r="D15" s="99"/>
      <c r="E15" s="99">
        <f>5/180</f>
        <v>2.7777777777777776E-2</v>
      </c>
      <c r="F15" s="99"/>
      <c r="G15" s="99">
        <v>1.0000000000000001E-5</v>
      </c>
      <c r="H15" s="99"/>
      <c r="I15" s="99">
        <f>4/210</f>
        <v>1.9047619047619049E-2</v>
      </c>
      <c r="J15" s="99"/>
      <c r="K15" s="99"/>
      <c r="L15" s="99"/>
      <c r="M15" s="99"/>
      <c r="N15" s="99"/>
      <c r="O15" s="99">
        <v>1E-3</v>
      </c>
      <c r="P15" s="100"/>
      <c r="Q15" s="101"/>
      <c r="R15" s="355"/>
      <c r="S15" s="98"/>
      <c r="T15" s="102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>
        <v>1E-3</v>
      </c>
      <c r="AF15" s="99"/>
      <c r="AG15" s="99">
        <f>5/130</f>
        <v>3.8461538461538464E-2</v>
      </c>
      <c r="AH15" s="99"/>
      <c r="AI15" s="99">
        <v>2E-3</v>
      </c>
      <c r="AJ15" s="99"/>
      <c r="AK15" s="99">
        <v>0</v>
      </c>
      <c r="AL15" s="99"/>
      <c r="AM15" s="99"/>
      <c r="AN15" s="99"/>
      <c r="AO15" s="99"/>
      <c r="AP15" s="99"/>
      <c r="AQ15" s="99"/>
      <c r="AR15" s="99"/>
      <c r="AS15" s="99"/>
      <c r="AT15" s="99"/>
      <c r="AU15" s="99">
        <v>16.04</v>
      </c>
      <c r="AV15" s="99">
        <v>2.9000000000000001E-2</v>
      </c>
      <c r="AW15" s="99">
        <f>120/180</f>
        <v>0.66666666666666663</v>
      </c>
      <c r="AX15" s="105">
        <f t="shared" si="0"/>
        <v>16.045009999999998</v>
      </c>
      <c r="AY15" s="105">
        <f t="shared" si="1"/>
        <v>2.9000000000000001E-2</v>
      </c>
      <c r="AZ15" s="105">
        <f t="shared" si="2"/>
        <v>0.75195360195360195</v>
      </c>
      <c r="BA15">
        <f t="shared" si="3"/>
        <v>4.8672677795377012E-2</v>
      </c>
    </row>
    <row r="16" spans="1:53" ht="15.6" x14ac:dyDescent="0.3">
      <c r="A16" s="96">
        <v>13</v>
      </c>
      <c r="B16" s="109" t="s">
        <v>37</v>
      </c>
      <c r="C16" s="98"/>
      <c r="D16" s="99"/>
      <c r="E16" s="99"/>
      <c r="F16" s="99"/>
      <c r="G16" s="99"/>
      <c r="H16" s="99"/>
      <c r="I16" s="99"/>
      <c r="J16" s="99"/>
      <c r="K16" s="99">
        <v>0.53100000000000003</v>
      </c>
      <c r="L16" s="99">
        <v>4.3410000000000002</v>
      </c>
      <c r="M16" s="99">
        <f>100/180</f>
        <v>0.55555555555555558</v>
      </c>
      <c r="N16" s="99"/>
      <c r="O16" s="99">
        <v>2.1999999999999999E-2</v>
      </c>
      <c r="P16" s="100">
        <v>0.48599999999999999</v>
      </c>
      <c r="Q16" s="101">
        <f>81/210</f>
        <v>0.38571428571428573</v>
      </c>
      <c r="R16" s="355"/>
      <c r="S16" s="98">
        <v>0.76900000000000002</v>
      </c>
      <c r="T16" s="102">
        <v>5.2859999999999996</v>
      </c>
      <c r="U16" s="99">
        <f>225/80</f>
        <v>2.8125</v>
      </c>
      <c r="V16" s="99"/>
      <c r="W16" s="99">
        <v>7.8E-2</v>
      </c>
      <c r="X16" s="99">
        <v>0.16700000000000001</v>
      </c>
      <c r="Y16" s="99"/>
      <c r="Z16" s="99"/>
      <c r="AA16" s="99">
        <v>10.127000000000001</v>
      </c>
      <c r="AB16" s="99">
        <v>100.45099999999999</v>
      </c>
      <c r="AC16" s="99">
        <f>1720/180</f>
        <v>9.5555555555555554</v>
      </c>
      <c r="AD16" s="99"/>
      <c r="AE16" s="99">
        <v>2E-3</v>
      </c>
      <c r="AF16" s="99">
        <v>6.0000000000000001E-3</v>
      </c>
      <c r="AG16" s="99"/>
      <c r="AH16" s="99"/>
      <c r="AI16" s="99">
        <v>1.887</v>
      </c>
      <c r="AJ16" s="99">
        <v>10.749000000000001</v>
      </c>
      <c r="AK16" s="99">
        <f>1699/130</f>
        <v>13.069230769230769</v>
      </c>
      <c r="AL16" s="99"/>
      <c r="AM16" s="99">
        <v>0.156</v>
      </c>
      <c r="AN16" s="99">
        <v>1.915</v>
      </c>
      <c r="AO16" s="99">
        <f>1329/180</f>
        <v>7.3833333333333337</v>
      </c>
      <c r="AP16" s="99"/>
      <c r="AQ16" s="99"/>
      <c r="AR16" s="99"/>
      <c r="AS16" s="99"/>
      <c r="AT16" s="99"/>
      <c r="AU16" s="99">
        <f>3.571+0.527</f>
        <v>4.0979999999999999</v>
      </c>
      <c r="AV16" s="99">
        <f>0.264+23.091</f>
        <v>23.355</v>
      </c>
      <c r="AW16" s="110">
        <f>2429/180</f>
        <v>13.494444444444444</v>
      </c>
      <c r="AX16" s="105">
        <f t="shared" si="0"/>
        <v>17.670000000000002</v>
      </c>
      <c r="AY16" s="105">
        <f t="shared" si="1"/>
        <v>146.756</v>
      </c>
      <c r="AZ16" s="105">
        <f t="shared" si="2"/>
        <v>47.256333943833937</v>
      </c>
      <c r="BA16">
        <f t="shared" si="3"/>
        <v>10.979758570675378</v>
      </c>
    </row>
    <row r="17" spans="1:53" ht="15.6" x14ac:dyDescent="0.3">
      <c r="A17" s="96">
        <v>14</v>
      </c>
      <c r="B17" s="109" t="s">
        <v>38</v>
      </c>
      <c r="C17" s="107"/>
      <c r="D17" s="108"/>
      <c r="E17" s="108"/>
      <c r="F17" s="108"/>
      <c r="G17" s="108">
        <v>5.0000000000000001E-3</v>
      </c>
      <c r="H17" s="108"/>
      <c r="I17" s="108">
        <v>1.0000000000000001E-5</v>
      </c>
      <c r="J17" s="108"/>
      <c r="K17" s="108">
        <v>0.36599999999999999</v>
      </c>
      <c r="L17" s="108">
        <v>1.524</v>
      </c>
      <c r="M17" s="108"/>
      <c r="N17" s="108"/>
      <c r="O17" s="108">
        <v>0.02</v>
      </c>
      <c r="P17" s="108">
        <v>7.0000000000000001E-3</v>
      </c>
      <c r="Q17" s="108">
        <v>8.42</v>
      </c>
      <c r="R17" s="108"/>
      <c r="S17" s="108">
        <v>0.39200000000000002</v>
      </c>
      <c r="T17" s="108">
        <v>3.0000000000000001E-3</v>
      </c>
      <c r="U17" s="108">
        <v>1.1325E-2</v>
      </c>
      <c r="V17" s="108"/>
      <c r="W17" s="108">
        <v>0.308</v>
      </c>
      <c r="X17" s="108">
        <v>0.91</v>
      </c>
      <c r="Y17" s="108"/>
      <c r="Z17" s="108"/>
      <c r="AA17" s="108">
        <v>3.8159999999999998</v>
      </c>
      <c r="AB17" s="108">
        <v>28.597000000000001</v>
      </c>
      <c r="AC17" s="108">
        <v>6.8000000000000005E-4</v>
      </c>
      <c r="AD17" s="108"/>
      <c r="AE17" s="108"/>
      <c r="AF17" s="108"/>
      <c r="AG17" s="108"/>
      <c r="AH17" s="108"/>
      <c r="AI17" s="108">
        <v>1.042</v>
      </c>
      <c r="AJ17" s="108">
        <v>2.246</v>
      </c>
      <c r="AK17" s="108">
        <v>22.17</v>
      </c>
      <c r="AL17" s="108"/>
      <c r="AM17" s="108">
        <f>0.035+0.266</f>
        <v>0.30100000000000005</v>
      </c>
      <c r="AN17" s="108">
        <v>0.56999999999999995</v>
      </c>
      <c r="AO17" s="108">
        <v>3.4674</v>
      </c>
      <c r="AP17" s="108"/>
      <c r="AQ17" s="108"/>
      <c r="AR17" s="108"/>
      <c r="AS17" s="108"/>
      <c r="AT17" s="108"/>
      <c r="AU17" s="108">
        <f>0.522+0.001+0.006</f>
        <v>0.52900000000000003</v>
      </c>
      <c r="AV17" s="108">
        <f>1.912+0.003+0.01</f>
        <v>1.9249999999999998</v>
      </c>
      <c r="AW17" s="108">
        <v>6.85</v>
      </c>
      <c r="AX17" s="105">
        <f t="shared" si="0"/>
        <v>6.7789999999999999</v>
      </c>
      <c r="AY17" s="105">
        <f t="shared" si="1"/>
        <v>35.781999999999996</v>
      </c>
      <c r="AZ17" s="105">
        <f t="shared" si="2"/>
        <v>40.919415000000001</v>
      </c>
      <c r="BA17">
        <f t="shared" si="3"/>
        <v>11.314561882283522</v>
      </c>
    </row>
    <row r="18" spans="1:53" ht="15.6" x14ac:dyDescent="0.3">
      <c r="A18" s="96">
        <v>15</v>
      </c>
      <c r="B18" s="115" t="s">
        <v>39</v>
      </c>
      <c r="C18" s="98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100"/>
      <c r="Q18" s="101"/>
      <c r="R18" s="355"/>
      <c r="S18" s="98"/>
      <c r="T18" s="102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>
        <f>0.067+0.013</f>
        <v>0.08</v>
      </c>
      <c r="AV18" s="99">
        <f>0.004+0.05</f>
        <v>5.4000000000000006E-2</v>
      </c>
      <c r="AW18" s="110">
        <f>43/180</f>
        <v>0.2388888888888889</v>
      </c>
      <c r="AX18" s="105">
        <f t="shared" si="0"/>
        <v>0.08</v>
      </c>
      <c r="AY18" s="105">
        <f t="shared" si="1"/>
        <v>5.4000000000000006E-2</v>
      </c>
      <c r="AZ18" s="105">
        <f t="shared" si="2"/>
        <v>0.2388888888888889</v>
      </c>
      <c r="BA18">
        <f t="shared" si="3"/>
        <v>3.6611111111111114</v>
      </c>
    </row>
    <row r="19" spans="1:53" ht="15.6" x14ac:dyDescent="0.3">
      <c r="A19" s="96">
        <v>16</v>
      </c>
      <c r="B19" s="116" t="s">
        <v>40</v>
      </c>
      <c r="C19" s="117">
        <v>3.0000000000000001E-3</v>
      </c>
      <c r="D19" s="118"/>
      <c r="E19" s="118">
        <f>5/180</f>
        <v>2.7777777777777776E-2</v>
      </c>
      <c r="F19" s="118"/>
      <c r="G19" s="118">
        <v>2E-3</v>
      </c>
      <c r="H19" s="118"/>
      <c r="I19" s="118">
        <f>22/210</f>
        <v>0.10476190476190476</v>
      </c>
      <c r="J19" s="118"/>
      <c r="K19" s="118"/>
      <c r="L19" s="118"/>
      <c r="M19" s="118"/>
      <c r="N19" s="118"/>
      <c r="O19" s="118">
        <v>4.0000000000000001E-3</v>
      </c>
      <c r="P19" s="119"/>
      <c r="Q19" s="120">
        <f>23/175</f>
        <v>0.13142857142857142</v>
      </c>
      <c r="R19" s="355"/>
      <c r="S19" s="117"/>
      <c r="T19" s="121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>
        <v>2E-3</v>
      </c>
      <c r="AF19" s="118"/>
      <c r="AG19" s="118">
        <f>7/130</f>
        <v>5.3846153846153849E-2</v>
      </c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>
        <v>1E-3</v>
      </c>
      <c r="AV19" s="118"/>
      <c r="AW19" s="122">
        <f>3/180</f>
        <v>1.6666666666666666E-2</v>
      </c>
      <c r="AX19" s="105">
        <f t="shared" si="0"/>
        <v>1.2E-2</v>
      </c>
      <c r="AY19" s="105">
        <f t="shared" si="1"/>
        <v>0</v>
      </c>
      <c r="AZ19" s="105">
        <f t="shared" si="2"/>
        <v>0.3344810744810745</v>
      </c>
      <c r="BA19">
        <f t="shared" si="3"/>
        <v>27.873422873422875</v>
      </c>
    </row>
    <row r="20" spans="1:53" ht="15.6" x14ac:dyDescent="0.3">
      <c r="A20" s="96">
        <v>17</v>
      </c>
      <c r="B20" s="109" t="s">
        <v>41</v>
      </c>
      <c r="C20" s="110">
        <v>0.01</v>
      </c>
      <c r="D20" s="108">
        <v>0.151</v>
      </c>
      <c r="E20" s="110"/>
      <c r="F20" s="110"/>
      <c r="G20" s="110">
        <v>2.5000000000000001E-2</v>
      </c>
      <c r="H20" s="110">
        <v>2.3E-2</v>
      </c>
      <c r="I20" s="110"/>
      <c r="J20" s="110"/>
      <c r="K20" s="110"/>
      <c r="L20" s="110"/>
      <c r="M20" s="110"/>
      <c r="N20" s="110"/>
      <c r="O20" s="110">
        <v>2.7E-2</v>
      </c>
      <c r="P20" s="110">
        <v>0.03</v>
      </c>
      <c r="Q20" s="110"/>
      <c r="R20" s="110"/>
      <c r="S20" s="110">
        <v>1.4E-2</v>
      </c>
      <c r="T20" s="108">
        <v>5.0000000000000001E-4</v>
      </c>
      <c r="U20" s="112"/>
      <c r="V20" s="112"/>
      <c r="W20" s="110"/>
      <c r="X20" s="110"/>
      <c r="Y20" s="110"/>
      <c r="Z20" s="110"/>
      <c r="AA20" s="110"/>
      <c r="AB20" s="110"/>
      <c r="AC20" s="110"/>
      <c r="AD20" s="110"/>
      <c r="AE20" s="110">
        <v>0.02</v>
      </c>
      <c r="AF20" s="108">
        <v>1E-3</v>
      </c>
      <c r="AG20" s="110"/>
      <c r="AH20" s="110"/>
      <c r="AI20" s="110">
        <v>2.4E-2</v>
      </c>
      <c r="AJ20" s="108">
        <v>0.09</v>
      </c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>
        <v>7.9000000000000001E-2</v>
      </c>
      <c r="AV20" s="110">
        <v>0.16300000000000001</v>
      </c>
      <c r="AW20" s="110"/>
      <c r="AX20" s="105">
        <f t="shared" si="0"/>
        <v>0.19900000000000001</v>
      </c>
      <c r="AY20" s="105">
        <f t="shared" si="1"/>
        <v>0.45850000000000002</v>
      </c>
      <c r="AZ20" s="105">
        <f t="shared" si="2"/>
        <v>0</v>
      </c>
      <c r="BA20">
        <f t="shared" si="3"/>
        <v>2.3040201005025125</v>
      </c>
    </row>
    <row r="21" spans="1:53" ht="15.6" x14ac:dyDescent="0.3">
      <c r="A21" s="96">
        <v>18</v>
      </c>
      <c r="B21" s="123" t="s">
        <v>42</v>
      </c>
      <c r="C21" s="113">
        <v>2.4E-2</v>
      </c>
      <c r="D21" s="103"/>
      <c r="E21" s="103">
        <f>132.154/180</f>
        <v>0.73418888888888889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>
        <v>1.4E-2</v>
      </c>
      <c r="P21" s="124"/>
      <c r="Q21" s="125">
        <f>10.002/175</f>
        <v>5.715428571428572E-2</v>
      </c>
      <c r="R21" s="355"/>
      <c r="S21" s="113"/>
      <c r="T21" s="114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>
        <v>5.0000000000000001E-3</v>
      </c>
      <c r="AF21" s="103"/>
      <c r="AG21" s="103">
        <f>5.001/130</f>
        <v>3.8469230769230769E-2</v>
      </c>
      <c r="AH21" s="103"/>
      <c r="AI21" s="103">
        <v>3.0000000000000001E-3</v>
      </c>
      <c r="AJ21" s="103"/>
      <c r="AK21" s="103">
        <f>104.743/130</f>
        <v>0.80571538461538461</v>
      </c>
      <c r="AL21" s="103"/>
      <c r="AM21" s="103"/>
      <c r="AN21" s="103"/>
      <c r="AO21" s="103"/>
      <c r="AP21" s="103"/>
      <c r="AQ21" s="103"/>
      <c r="AR21" s="103"/>
      <c r="AS21" s="103"/>
      <c r="AT21" s="103"/>
      <c r="AU21" s="103">
        <f>0.004+0.004</f>
        <v>8.0000000000000002E-3</v>
      </c>
      <c r="AV21" s="103">
        <v>1.7000000000000001E-2</v>
      </c>
      <c r="AW21" s="104">
        <f>818.288/180</f>
        <v>4.5460444444444441</v>
      </c>
      <c r="AX21" s="105">
        <f t="shared" si="0"/>
        <v>5.3999999999999999E-2</v>
      </c>
      <c r="AY21" s="105">
        <f t="shared" si="1"/>
        <v>1.7000000000000001E-2</v>
      </c>
      <c r="AZ21" s="105">
        <f t="shared" si="2"/>
        <v>6.1815722344322346</v>
      </c>
      <c r="BA21">
        <f t="shared" si="3"/>
        <v>114.78837471170806</v>
      </c>
    </row>
    <row r="22" spans="1:53" ht="15.6" x14ac:dyDescent="0.3">
      <c r="A22" s="96">
        <v>19</v>
      </c>
      <c r="B22" s="109" t="s">
        <v>43</v>
      </c>
      <c r="C22" s="107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>
        <v>1.2999999999999999E-2</v>
      </c>
      <c r="P22" s="108"/>
      <c r="Q22" s="108">
        <f>191/175</f>
        <v>1.0914285714285714</v>
      </c>
      <c r="R22" s="108"/>
      <c r="S22" s="108">
        <v>1.58</v>
      </c>
      <c r="T22" s="108"/>
      <c r="U22" s="108">
        <f>1560/80</f>
        <v>19.5</v>
      </c>
      <c r="V22" s="108"/>
      <c r="W22" s="108"/>
      <c r="X22" s="108"/>
      <c r="Y22" s="108"/>
      <c r="Z22" s="108"/>
      <c r="AA22" s="108">
        <v>2.6080000000000001</v>
      </c>
      <c r="AB22" s="108">
        <v>23.521999999999998</v>
      </c>
      <c r="AC22" s="108"/>
      <c r="AD22" s="108"/>
      <c r="AE22" s="108"/>
      <c r="AF22" s="108"/>
      <c r="AG22" s="108"/>
      <c r="AH22" s="108"/>
      <c r="AI22" s="108">
        <v>1.859</v>
      </c>
      <c r="AJ22" s="108"/>
      <c r="AK22" s="108">
        <f>3584/130</f>
        <v>27.569230769230771</v>
      </c>
      <c r="AL22" s="108"/>
      <c r="AM22" s="108">
        <v>0.50700000000000001</v>
      </c>
      <c r="AN22" s="108">
        <v>1.2969999999999999</v>
      </c>
      <c r="AO22" s="108"/>
      <c r="AP22" s="108"/>
      <c r="AQ22" s="108"/>
      <c r="AR22" s="108"/>
      <c r="AS22" s="108"/>
      <c r="AT22" s="108"/>
      <c r="AU22" s="108"/>
      <c r="AV22" s="108"/>
      <c r="AW22" s="108"/>
      <c r="AX22" s="105">
        <f t="shared" si="0"/>
        <v>6.5670000000000002</v>
      </c>
      <c r="AY22" s="105">
        <f t="shared" si="1"/>
        <v>24.818999999999999</v>
      </c>
      <c r="AZ22" s="105">
        <f t="shared" si="2"/>
        <v>48.160659340659343</v>
      </c>
      <c r="BA22">
        <f t="shared" si="3"/>
        <v>11.113089590476525</v>
      </c>
    </row>
    <row r="23" spans="1:53" ht="15.6" x14ac:dyDescent="0.3">
      <c r="A23" s="96">
        <v>20</v>
      </c>
      <c r="B23" s="109" t="s">
        <v>45</v>
      </c>
      <c r="C23" s="98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100"/>
      <c r="Q23" s="101"/>
      <c r="R23" s="355"/>
      <c r="S23" s="98"/>
      <c r="T23" s="102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>
        <v>2.0510000000000002</v>
      </c>
      <c r="AV23" s="99">
        <v>12.817</v>
      </c>
      <c r="AW23" s="110"/>
      <c r="AX23" s="105">
        <f t="shared" si="0"/>
        <v>2.0510000000000002</v>
      </c>
      <c r="AY23" s="105">
        <f t="shared" si="1"/>
        <v>12.817</v>
      </c>
      <c r="AZ23" s="105">
        <f t="shared" si="2"/>
        <v>0</v>
      </c>
      <c r="BA23">
        <f t="shared" si="3"/>
        <v>6.2491467576791804</v>
      </c>
    </row>
    <row r="24" spans="1:53" ht="15.6" x14ac:dyDescent="0.3">
      <c r="A24" s="96">
        <v>21</v>
      </c>
      <c r="B24" s="109" t="s">
        <v>46</v>
      </c>
      <c r="C24" s="98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>
        <f>0.002+0.304</f>
        <v>0.30599999999999999</v>
      </c>
      <c r="P24" s="100">
        <f>0.003+0.294</f>
        <v>0.29699999999999999</v>
      </c>
      <c r="Q24" s="101"/>
      <c r="R24" s="355"/>
      <c r="S24" s="98"/>
      <c r="T24" s="102"/>
      <c r="U24" s="99"/>
      <c r="V24" s="99"/>
      <c r="W24" s="99"/>
      <c r="X24" s="99"/>
      <c r="Y24" s="99"/>
      <c r="Z24" s="99"/>
      <c r="AA24" s="99">
        <v>0.32500000000000001</v>
      </c>
      <c r="AB24" s="99">
        <v>0.77700000000000002</v>
      </c>
      <c r="AC24" s="99"/>
      <c r="AD24" s="99"/>
      <c r="AE24" s="99"/>
      <c r="AF24" s="99"/>
      <c r="AG24" s="99"/>
      <c r="AH24" s="99"/>
      <c r="AI24" s="99">
        <f>0.001+1.213</f>
        <v>1.214</v>
      </c>
      <c r="AJ24" s="99">
        <f>0.003+1.741</f>
        <v>1.744</v>
      </c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>
        <v>0.86399999999999999</v>
      </c>
      <c r="AV24" s="99">
        <v>1.2070000000000001</v>
      </c>
      <c r="AW24" s="110"/>
      <c r="AX24" s="105">
        <f t="shared" si="0"/>
        <v>2.7090000000000001</v>
      </c>
      <c r="AY24" s="105">
        <f t="shared" si="1"/>
        <v>4.0250000000000004</v>
      </c>
      <c r="AZ24" s="105">
        <f t="shared" si="2"/>
        <v>0</v>
      </c>
      <c r="BA24">
        <f t="shared" si="3"/>
        <v>1.4857881136950906</v>
      </c>
    </row>
    <row r="25" spans="1:53" ht="15.6" x14ac:dyDescent="0.3">
      <c r="A25" s="96">
        <v>22</v>
      </c>
      <c r="B25" s="109" t="s">
        <v>47</v>
      </c>
      <c r="C25" s="98">
        <v>1.0999999999999999E-2</v>
      </c>
      <c r="D25" s="99"/>
      <c r="E25" s="99">
        <v>2.7777777777777776E-2</v>
      </c>
      <c r="F25" s="99"/>
      <c r="G25" s="99">
        <v>7.0000000000000001E-3</v>
      </c>
      <c r="H25" s="99"/>
      <c r="I25" s="99">
        <v>4.2857142857142858E-2</v>
      </c>
      <c r="J25" s="99"/>
      <c r="K25" s="99"/>
      <c r="L25" s="99"/>
      <c r="M25" s="99"/>
      <c r="N25" s="99"/>
      <c r="O25" s="99">
        <v>3.1E-2</v>
      </c>
      <c r="P25" s="100"/>
      <c r="Q25" s="101">
        <v>6.2040816326530614E-4</v>
      </c>
      <c r="R25" s="355"/>
      <c r="S25" s="98">
        <v>3.4000000000000002E-2</v>
      </c>
      <c r="T25" s="102"/>
      <c r="U25" s="99">
        <v>1.0937499999999999E-2</v>
      </c>
      <c r="V25" s="99"/>
      <c r="W25" s="99"/>
      <c r="X25" s="99"/>
      <c r="Y25" s="99">
        <v>0</v>
      </c>
      <c r="Z25" s="99"/>
      <c r="AA25" s="99">
        <v>1.7000000000000001E-2</v>
      </c>
      <c r="AB25" s="99">
        <v>16.5</v>
      </c>
      <c r="AC25" s="99">
        <v>0</v>
      </c>
      <c r="AD25" s="99"/>
      <c r="AE25" s="99">
        <v>3.7999999999999999E-2</v>
      </c>
      <c r="AF25" s="99"/>
      <c r="AG25" s="99">
        <v>1.051939513477975E-5</v>
      </c>
      <c r="AH25" s="99"/>
      <c r="AI25" s="99">
        <v>2.5000000000000001E-2</v>
      </c>
      <c r="AJ25" s="99"/>
      <c r="AK25" s="99">
        <v>1.4201183431952664E-3</v>
      </c>
      <c r="AL25" s="99"/>
      <c r="AM25" s="99"/>
      <c r="AN25" s="99"/>
      <c r="AO25" s="99">
        <v>0</v>
      </c>
      <c r="AP25" s="99"/>
      <c r="AQ25" s="99"/>
      <c r="AR25" s="99"/>
      <c r="AS25" s="99"/>
      <c r="AT25" s="99"/>
      <c r="AU25" s="99">
        <v>7.9000000000000001E-2</v>
      </c>
      <c r="AV25" s="99"/>
      <c r="AW25" s="110">
        <v>2.4382716049382715E-3</v>
      </c>
      <c r="AX25" s="105">
        <f t="shared" si="0"/>
        <v>0.24199999999999999</v>
      </c>
      <c r="AY25" s="105">
        <f t="shared" si="1"/>
        <v>16.5</v>
      </c>
      <c r="AZ25" s="105">
        <f t="shared" si="2"/>
        <v>8.6061738141454264E-2</v>
      </c>
      <c r="BA25">
        <f t="shared" si="3"/>
        <v>68.537445198931621</v>
      </c>
    </row>
    <row r="26" spans="1:53" ht="15.6" x14ac:dyDescent="0.3">
      <c r="A26" s="96">
        <v>23</v>
      </c>
      <c r="B26" s="109" t="s">
        <v>48</v>
      </c>
      <c r="C26" s="107">
        <v>2E-3</v>
      </c>
      <c r="D26" s="108"/>
      <c r="E26" s="108">
        <f>9/180</f>
        <v>0.05</v>
      </c>
      <c r="F26" s="108"/>
      <c r="G26" s="108">
        <v>5.0999999999999997E-2</v>
      </c>
      <c r="H26" s="108">
        <v>8.5000000000000006E-2</v>
      </c>
      <c r="I26" s="108">
        <f>504/210</f>
        <v>2.4</v>
      </c>
      <c r="J26" s="108"/>
      <c r="K26" s="108">
        <v>5.3710000000000004</v>
      </c>
      <c r="L26" s="108">
        <v>78.825999999999993</v>
      </c>
      <c r="M26" s="108"/>
      <c r="N26" s="108"/>
      <c r="O26" s="108">
        <v>7.0000000000000001E-3</v>
      </c>
      <c r="P26" s="108">
        <v>1E-3</v>
      </c>
      <c r="Q26" s="108">
        <f>130/175</f>
        <v>0.74285714285714288</v>
      </c>
      <c r="R26" s="108"/>
      <c r="S26" s="108"/>
      <c r="T26" s="108"/>
      <c r="U26" s="108"/>
      <c r="V26" s="108"/>
      <c r="W26" s="108">
        <v>13.72</v>
      </c>
      <c r="X26" s="108">
        <v>131.25</v>
      </c>
      <c r="Y26" s="108">
        <f>362/180</f>
        <v>2.0111111111111111</v>
      </c>
      <c r="Z26" s="108"/>
      <c r="AA26" s="108">
        <v>1.903</v>
      </c>
      <c r="AB26" s="108">
        <v>38.518000000000001</v>
      </c>
      <c r="AC26" s="108"/>
      <c r="AD26" s="108"/>
      <c r="AE26" s="108"/>
      <c r="AF26" s="108"/>
      <c r="AG26" s="108"/>
      <c r="AH26" s="108"/>
      <c r="AI26" s="108">
        <v>2.157</v>
      </c>
      <c r="AJ26" s="108">
        <v>20.12</v>
      </c>
      <c r="AK26" s="108">
        <f>134/130</f>
        <v>1.0307692307692307</v>
      </c>
      <c r="AL26" s="108"/>
      <c r="AM26" s="108">
        <v>3.1339999999999999</v>
      </c>
      <c r="AN26" s="108">
        <v>51.728000000000002</v>
      </c>
      <c r="AO26" s="108"/>
      <c r="AP26" s="108"/>
      <c r="AQ26" s="108"/>
      <c r="AR26" s="108"/>
      <c r="AS26" s="108"/>
      <c r="AT26" s="108"/>
      <c r="AU26" s="108">
        <f>5.991+0.026+0.005</f>
        <v>6.0219999999999994</v>
      </c>
      <c r="AV26" s="108">
        <f>95.979+0.05</f>
        <v>96.028999999999996</v>
      </c>
      <c r="AW26" s="108">
        <f>217/180</f>
        <v>1.2055555555555555</v>
      </c>
      <c r="AX26" s="105">
        <f t="shared" si="0"/>
        <v>32.366999999999997</v>
      </c>
      <c r="AY26" s="105">
        <f t="shared" si="1"/>
        <v>416.55699999999996</v>
      </c>
      <c r="AZ26" s="105">
        <f t="shared" si="2"/>
        <v>7.4402930402930405</v>
      </c>
      <c r="BA26">
        <f t="shared" si="3"/>
        <v>13.099678470055707</v>
      </c>
    </row>
    <row r="27" spans="1:53" ht="15.6" x14ac:dyDescent="0.3">
      <c r="A27" s="96">
        <v>24</v>
      </c>
      <c r="B27" s="126" t="s">
        <v>65</v>
      </c>
      <c r="C27" s="98"/>
      <c r="D27" s="99"/>
      <c r="E27" s="99"/>
      <c r="F27" s="99"/>
      <c r="G27" s="99"/>
      <c r="H27" s="99"/>
      <c r="I27" s="99"/>
      <c r="J27" s="99"/>
      <c r="K27" s="99">
        <v>0.72299999999999998</v>
      </c>
      <c r="L27" s="99">
        <v>2.472</v>
      </c>
      <c r="M27" s="99"/>
      <c r="N27" s="99"/>
      <c r="O27" s="99">
        <v>7.0000000000000007E-2</v>
      </c>
      <c r="P27" s="100"/>
      <c r="Q27" s="101">
        <v>9</v>
      </c>
      <c r="R27" s="355"/>
      <c r="S27" s="98"/>
      <c r="T27" s="102"/>
      <c r="U27" s="99"/>
      <c r="V27" s="99"/>
      <c r="W27" s="99">
        <v>0.154</v>
      </c>
      <c r="X27" s="99">
        <v>0.434</v>
      </c>
      <c r="Y27" s="99"/>
      <c r="Z27" s="99"/>
      <c r="AA27" s="99">
        <v>1.0980000000000001</v>
      </c>
      <c r="AB27" s="99">
        <v>3.4980000000000002</v>
      </c>
      <c r="AC27" s="99"/>
      <c r="AD27" s="99"/>
      <c r="AE27" s="99"/>
      <c r="AF27" s="99"/>
      <c r="AG27" s="99"/>
      <c r="AH27" s="99"/>
      <c r="AI27" s="99">
        <v>0.46800000000000003</v>
      </c>
      <c r="AJ27" s="99">
        <v>2.7210000000000001</v>
      </c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>
        <v>0.437</v>
      </c>
      <c r="AV27" s="99">
        <v>0.93</v>
      </c>
      <c r="AW27" s="110"/>
      <c r="AX27" s="105">
        <f t="shared" si="0"/>
        <v>2.9499999999999997</v>
      </c>
      <c r="AY27" s="105">
        <f t="shared" si="1"/>
        <v>10.055</v>
      </c>
      <c r="AZ27" s="105">
        <f t="shared" si="2"/>
        <v>9</v>
      </c>
      <c r="BA27">
        <f t="shared" si="3"/>
        <v>6.4593220338983057</v>
      </c>
    </row>
    <row r="28" spans="1:53" ht="15.6" x14ac:dyDescent="0.3">
      <c r="A28" s="96">
        <v>25</v>
      </c>
      <c r="B28" s="109" t="s">
        <v>49</v>
      </c>
      <c r="C28" s="98"/>
      <c r="D28" s="99"/>
      <c r="E28" s="99"/>
      <c r="F28" s="99"/>
      <c r="G28" s="99"/>
      <c r="H28" s="99"/>
      <c r="I28" s="99">
        <v>0</v>
      </c>
      <c r="J28" s="99"/>
      <c r="K28" s="99"/>
      <c r="L28" s="99"/>
      <c r="M28" s="99"/>
      <c r="N28" s="99"/>
      <c r="O28" s="99"/>
      <c r="P28" s="100"/>
      <c r="Q28" s="101">
        <v>0</v>
      </c>
      <c r="R28" s="355"/>
      <c r="S28" s="98"/>
      <c r="T28" s="99"/>
      <c r="U28" s="99">
        <v>0</v>
      </c>
      <c r="V28" s="99"/>
      <c r="W28" s="99"/>
      <c r="X28" s="99"/>
      <c r="Y28" s="99">
        <v>0</v>
      </c>
      <c r="Z28" s="99"/>
      <c r="AA28" s="99"/>
      <c r="AB28" s="99"/>
      <c r="AC28" s="99">
        <v>0</v>
      </c>
      <c r="AD28" s="99"/>
      <c r="AE28" s="99"/>
      <c r="AF28" s="99"/>
      <c r="AG28" s="99">
        <v>0</v>
      </c>
      <c r="AH28" s="99"/>
      <c r="AI28" s="99"/>
      <c r="AJ28" s="99"/>
      <c r="AK28" s="99">
        <v>0</v>
      </c>
      <c r="AL28" s="118"/>
      <c r="AM28" s="118"/>
      <c r="AN28" s="118"/>
      <c r="AO28" s="99">
        <v>0</v>
      </c>
      <c r="AP28" s="99"/>
      <c r="AQ28" s="99"/>
      <c r="AR28" s="99"/>
      <c r="AS28" s="99"/>
      <c r="AT28" s="99"/>
      <c r="AU28" s="99"/>
      <c r="AV28" s="99"/>
      <c r="AW28" s="110">
        <v>0</v>
      </c>
      <c r="AX28" s="105">
        <f t="shared" si="0"/>
        <v>0</v>
      </c>
      <c r="AY28" s="105">
        <f t="shared" si="1"/>
        <v>0</v>
      </c>
      <c r="AZ28" s="105">
        <f t="shared" si="2"/>
        <v>0</v>
      </c>
      <c r="BA28" t="e">
        <f t="shared" si="3"/>
        <v>#DIV/0!</v>
      </c>
    </row>
    <row r="29" spans="1:53" ht="15.6" x14ac:dyDescent="0.3">
      <c r="A29" s="96">
        <v>26</v>
      </c>
      <c r="B29" s="109" t="s">
        <v>50</v>
      </c>
      <c r="C29" s="98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100"/>
      <c r="Q29" s="101"/>
      <c r="R29" s="355"/>
      <c r="S29" s="98">
        <v>3.4390000000000001</v>
      </c>
      <c r="T29" s="102"/>
      <c r="U29" s="99">
        <f>3439/80</f>
        <v>42.987499999999997</v>
      </c>
      <c r="V29" s="99"/>
      <c r="W29" s="99"/>
      <c r="X29" s="99"/>
      <c r="Y29" s="99"/>
      <c r="Z29" s="99"/>
      <c r="AA29" s="99">
        <v>3.9649999999999999</v>
      </c>
      <c r="AB29" s="99">
        <v>7.93</v>
      </c>
      <c r="AC29" s="99"/>
      <c r="AD29" s="99"/>
      <c r="AE29" s="99"/>
      <c r="AF29" s="99"/>
      <c r="AG29" s="99"/>
      <c r="AH29" s="99"/>
      <c r="AI29" s="99">
        <v>13.590999999999999</v>
      </c>
      <c r="AJ29" s="99">
        <v>38.039000000000001</v>
      </c>
      <c r="AK29" s="100">
        <f>2752/130</f>
        <v>21.169230769230769</v>
      </c>
      <c r="AL29" s="357"/>
      <c r="AM29" s="108"/>
      <c r="AN29" s="108"/>
      <c r="AO29" s="98"/>
      <c r="AP29" s="98"/>
      <c r="AQ29" s="99"/>
      <c r="AR29" s="99"/>
      <c r="AS29" s="99"/>
      <c r="AT29" s="99"/>
      <c r="AU29" s="99"/>
      <c r="AV29" s="99"/>
      <c r="AW29" s="110"/>
      <c r="AX29" s="105">
        <f t="shared" si="0"/>
        <v>20.994999999999997</v>
      </c>
      <c r="AY29" s="105">
        <f t="shared" si="1"/>
        <v>45.969000000000001</v>
      </c>
      <c r="AZ29" s="105">
        <f t="shared" si="2"/>
        <v>64.156730769230762</v>
      </c>
      <c r="BA29">
        <f t="shared" si="3"/>
        <v>5.2453313059886053</v>
      </c>
    </row>
    <row r="30" spans="1:53" ht="15.6" x14ac:dyDescent="0.3">
      <c r="A30" s="96">
        <v>27</v>
      </c>
      <c r="B30" s="109" t="s">
        <v>51</v>
      </c>
      <c r="C30" s="98"/>
      <c r="D30" s="99"/>
      <c r="E30" s="99"/>
      <c r="F30" s="99"/>
      <c r="G30" s="99">
        <v>1.4999999999999999E-2</v>
      </c>
      <c r="H30" s="99"/>
      <c r="I30" s="99">
        <f>115.22/210</f>
        <v>0.54866666666666664</v>
      </c>
      <c r="J30" s="99"/>
      <c r="K30" s="99"/>
      <c r="L30" s="99"/>
      <c r="M30" s="99"/>
      <c r="N30" s="99"/>
      <c r="O30" s="99">
        <v>0.10100000000000001</v>
      </c>
      <c r="P30" s="100"/>
      <c r="Q30" s="101">
        <f>949.9/175</f>
        <v>5.4279999999999999</v>
      </c>
      <c r="R30" s="355"/>
      <c r="S30" s="98">
        <v>0.28499999999999998</v>
      </c>
      <c r="T30" s="102"/>
      <c r="U30" s="99">
        <f>481.53/80</f>
        <v>6.0191249999999998</v>
      </c>
      <c r="V30" s="99"/>
      <c r="W30" s="99"/>
      <c r="X30" s="99"/>
      <c r="Y30" s="99"/>
      <c r="Z30" s="99"/>
      <c r="AA30" s="99">
        <v>0.78</v>
      </c>
      <c r="AB30" s="99">
        <v>1.78</v>
      </c>
      <c r="AC30" s="99"/>
      <c r="AD30" s="99"/>
      <c r="AE30" s="99"/>
      <c r="AF30" s="99"/>
      <c r="AG30" s="99"/>
      <c r="AH30" s="99"/>
      <c r="AI30" s="99">
        <v>0.108</v>
      </c>
      <c r="AJ30" s="99">
        <v>0.17199999999999999</v>
      </c>
      <c r="AK30" s="99"/>
      <c r="AL30" s="103"/>
      <c r="AM30" s="103">
        <v>1.7000000000000001E-2</v>
      </c>
      <c r="AN30" s="103">
        <v>3.3000000000000002E-2</v>
      </c>
      <c r="AO30" s="99"/>
      <c r="AP30" s="99"/>
      <c r="AQ30" s="99"/>
      <c r="AR30" s="99"/>
      <c r="AS30" s="99"/>
      <c r="AT30" s="99"/>
      <c r="AU30" s="99">
        <f>0.087+0.00989</f>
        <v>9.688999999999999E-2</v>
      </c>
      <c r="AV30" s="99">
        <v>8.7999999999999995E-2</v>
      </c>
      <c r="AW30" s="110">
        <f>17.87/180</f>
        <v>9.9277777777777784E-2</v>
      </c>
      <c r="AX30" s="105">
        <f t="shared" si="0"/>
        <v>1.40289</v>
      </c>
      <c r="AY30" s="105">
        <f t="shared" si="1"/>
        <v>2.073</v>
      </c>
      <c r="AZ30" s="105">
        <f t="shared" si="2"/>
        <v>12.095069444444443</v>
      </c>
      <c r="BA30">
        <f t="shared" si="3"/>
        <v>10.099201964832911</v>
      </c>
    </row>
    <row r="31" spans="1:53" ht="15.6" x14ac:dyDescent="0.3">
      <c r="A31" s="96">
        <v>28</v>
      </c>
      <c r="B31" s="109" t="s">
        <v>52</v>
      </c>
      <c r="C31" s="98">
        <v>1E-3</v>
      </c>
      <c r="D31" s="99"/>
      <c r="E31" s="99">
        <f>7/180</f>
        <v>3.888888888888889E-2</v>
      </c>
      <c r="F31" s="99"/>
      <c r="G31" s="99"/>
      <c r="H31" s="99"/>
      <c r="I31" s="99"/>
      <c r="J31" s="99"/>
      <c r="K31" s="99">
        <v>0.53</v>
      </c>
      <c r="L31" s="99"/>
      <c r="M31" s="99">
        <f>1450/180</f>
        <v>8.0555555555555554</v>
      </c>
      <c r="N31" s="99"/>
      <c r="O31" s="99">
        <v>6.45E-3</v>
      </c>
      <c r="P31" s="100"/>
      <c r="Q31" s="101">
        <f>124.186/175</f>
        <v>0.70963428571428577</v>
      </c>
      <c r="R31" s="355"/>
      <c r="S31" s="98">
        <v>2.855</v>
      </c>
      <c r="T31" s="102"/>
      <c r="U31" s="99">
        <f>4288/80</f>
        <v>53.6</v>
      </c>
      <c r="V31" s="99"/>
      <c r="W31" s="99">
        <v>0.46</v>
      </c>
      <c r="X31" s="99">
        <v>0.63100000000000001</v>
      </c>
      <c r="Y31" s="99"/>
      <c r="Z31" s="99"/>
      <c r="AA31" s="99">
        <v>6.9</v>
      </c>
      <c r="AB31" s="99">
        <v>59.48</v>
      </c>
      <c r="AC31" s="99"/>
      <c r="AD31" s="99"/>
      <c r="AE31" s="99">
        <v>1.1999999999999999E-3</v>
      </c>
      <c r="AF31" s="99"/>
      <c r="AG31" s="99">
        <f>4.04/130</f>
        <v>3.1076923076923078E-2</v>
      </c>
      <c r="AH31" s="99"/>
      <c r="AI31" s="99">
        <v>1.7450000000000001</v>
      </c>
      <c r="AJ31" s="99"/>
      <c r="AK31" s="99">
        <f>8265/130</f>
        <v>63.57692307692308</v>
      </c>
      <c r="AL31" s="99"/>
      <c r="AM31" s="99">
        <v>5.79</v>
      </c>
      <c r="AN31" s="99"/>
      <c r="AO31" s="99">
        <f>13600/180</f>
        <v>75.555555555555557</v>
      </c>
      <c r="AP31" s="99"/>
      <c r="AQ31" s="99"/>
      <c r="AR31" s="99"/>
      <c r="AS31" s="99"/>
      <c r="AT31" s="99"/>
      <c r="AU31" s="99">
        <v>7.7560000000000002</v>
      </c>
      <c r="AV31" s="99">
        <v>11.162000000000001</v>
      </c>
      <c r="AW31" s="110"/>
      <c r="AX31" s="105">
        <f t="shared" si="0"/>
        <v>26.044650000000001</v>
      </c>
      <c r="AY31" s="105">
        <f t="shared" si="1"/>
        <v>71.272999999999996</v>
      </c>
      <c r="AZ31" s="105">
        <f t="shared" si="2"/>
        <v>201.56763428571429</v>
      </c>
      <c r="BA31">
        <f t="shared" si="3"/>
        <v>10.475880239731163</v>
      </c>
    </row>
    <row r="32" spans="1:53" ht="15.6" x14ac:dyDescent="0.3">
      <c r="A32" s="96">
        <v>29</v>
      </c>
      <c r="B32" s="116" t="s">
        <v>12</v>
      </c>
      <c r="C32" s="117">
        <f>'[1]UT''s 2016-17'!O92</f>
        <v>0</v>
      </c>
      <c r="D32" s="117">
        <f>'[1]UT''s 2016-17'!P92</f>
        <v>3.8999999999999999E-4</v>
      </c>
      <c r="E32" s="117">
        <f>'[1]UT''s 2016-17'!P93</f>
        <v>0</v>
      </c>
      <c r="F32" s="117"/>
      <c r="G32" s="117">
        <f>'[1]UT''s 2016-17'!O94</f>
        <v>0</v>
      </c>
      <c r="H32" s="117">
        <f>'[1]UT''s 2016-17'!P94</f>
        <v>0</v>
      </c>
      <c r="I32" s="117">
        <f>'[1]UT''s 2016-17'!P95</f>
        <v>0</v>
      </c>
      <c r="J32" s="117"/>
      <c r="K32" s="117">
        <f>'[1]UT''s 2016-17'!O96</f>
        <v>0</v>
      </c>
      <c r="L32" s="117">
        <f>'[1]UT''s 2016-17'!P96</f>
        <v>0.48609999999999998</v>
      </c>
      <c r="M32" s="117">
        <f>'[1]UT''s 2016-17'!P97</f>
        <v>0</v>
      </c>
      <c r="N32" s="117"/>
      <c r="O32" s="117">
        <f>'[1]UT''s 2016-17'!O98</f>
        <v>0</v>
      </c>
      <c r="P32" s="117">
        <f>'[1]UT''s 2016-17'!P98</f>
        <v>0.42144999999999999</v>
      </c>
      <c r="Q32" s="117">
        <f>'[1]UT''s 2016-17'!P99</f>
        <v>0</v>
      </c>
      <c r="R32" s="117"/>
      <c r="S32" s="117">
        <f>'[1]UT''s 2016-17'!O100</f>
        <v>0</v>
      </c>
      <c r="T32" s="117">
        <f>'[1]UT''s 2016-17'!P100</f>
        <v>0</v>
      </c>
      <c r="U32" s="117">
        <f>'[1]UT''s 2016-17'!P101</f>
        <v>0</v>
      </c>
      <c r="V32" s="117"/>
      <c r="W32" s="117">
        <f>'[1]UT''s 2016-17'!O102</f>
        <v>0.23</v>
      </c>
      <c r="X32" s="117">
        <f>'[1]UT''s 2016-17'!P102</f>
        <v>3.4499999999999996E-2</v>
      </c>
      <c r="Y32" s="117">
        <f>'[1]UT''s 2016-17'!P103</f>
        <v>0</v>
      </c>
      <c r="Z32" s="117"/>
      <c r="AA32" s="117">
        <f>'[1]UT''s 2016-17'!O104</f>
        <v>0.26</v>
      </c>
      <c r="AB32" s="117">
        <f>'[1]UT''s 2016-17'!P104</f>
        <v>2.6459999999999995</v>
      </c>
      <c r="AC32" s="117">
        <f>'[1]UT''s 2016-17'!P105</f>
        <v>0</v>
      </c>
      <c r="AD32" s="117"/>
      <c r="AE32" s="117">
        <f>'[1]UT''s 2016-17'!O106</f>
        <v>0</v>
      </c>
      <c r="AF32" s="117">
        <f>'[1]UT''s 2016-17'!P106</f>
        <v>3.0400000000000002E-3</v>
      </c>
      <c r="AG32" s="117">
        <f>'[1]UT''s 2016-17'!P107</f>
        <v>0</v>
      </c>
      <c r="AH32" s="117"/>
      <c r="AI32" s="117">
        <f>'[1]UT''s 2016-17'!O108</f>
        <v>0</v>
      </c>
      <c r="AJ32" s="117">
        <f>'[1]UT''s 2016-17'!P108</f>
        <v>0.39040000000000002</v>
      </c>
      <c r="AK32" s="117">
        <f>'[1]UT''s 2016-17'!P109</f>
        <v>0</v>
      </c>
      <c r="AL32" s="117"/>
      <c r="AM32" s="117">
        <f>'[1]UT''s 2016-17'!O110</f>
        <v>1.2E-2</v>
      </c>
      <c r="AN32" s="117">
        <f>'[1]UT''s 2016-17'!P110</f>
        <v>0.23340000000000002</v>
      </c>
      <c r="AO32" s="117">
        <f>'[1]UT''s 2016-17'!P111</f>
        <v>0</v>
      </c>
      <c r="AP32" s="117"/>
      <c r="AQ32" s="117">
        <f>'[1]UT''s 2016-17'!O112</f>
        <v>0</v>
      </c>
      <c r="AR32" s="117">
        <f>'[1]UT''s 2016-17'!P112</f>
        <v>0</v>
      </c>
      <c r="AS32" s="117">
        <f>'[1]UT''s 2016-17'!P113</f>
        <v>0</v>
      </c>
      <c r="AT32" s="117"/>
      <c r="AU32" s="117">
        <f>'[1]UT''s 2016-17'!O114</f>
        <v>0.11700000000000001</v>
      </c>
      <c r="AV32" s="117">
        <f>'[1]UT''s 2016-17'!P114</f>
        <v>4.7500000000000001E-2</v>
      </c>
      <c r="AW32" s="117">
        <f>'[1]UT''s 2016-17'!P115</f>
        <v>0</v>
      </c>
      <c r="AX32" s="127">
        <f t="shared" si="0"/>
        <v>0.61899999999999999</v>
      </c>
      <c r="AY32" s="127">
        <f t="shared" si="1"/>
        <v>4.2627799999999993</v>
      </c>
      <c r="AZ32" s="127">
        <f t="shared" si="2"/>
        <v>0</v>
      </c>
      <c r="BA32">
        <f t="shared" si="3"/>
        <v>6.8865589660743121</v>
      </c>
    </row>
    <row r="33" spans="1:53" ht="15.6" x14ac:dyDescent="0.3">
      <c r="A33" s="128"/>
      <c r="B33" s="353" t="s">
        <v>72</v>
      </c>
      <c r="C33" s="75">
        <f>C4+C5+C6+C7+C8+C9+C10+C11+C12+C13+C14+C15+C16+C17+C18+C19+C20+C21+C22+C23+C24+C25+C26+C27+C28+C29+C30+C31+C32</f>
        <v>0.45723600000000003</v>
      </c>
      <c r="D33" s="75">
        <f t="shared" ref="D33:AZ33" si="4">D4+D5+D6+D7+D8+D9+D10+D11+D12+D13+D14+D15+D16+D17+D18+D19+D20+D21+D22+D23+D24+D25+D26+D27+D28+D29+D30+D31+D32</f>
        <v>1.2173899999999998</v>
      </c>
      <c r="E33" s="75">
        <f t="shared" si="4"/>
        <v>2.1280711111111104</v>
      </c>
      <c r="F33" s="75"/>
      <c r="G33" s="75">
        <f t="shared" si="4"/>
        <v>3.2008199999999998</v>
      </c>
      <c r="H33" s="75">
        <f t="shared" si="4"/>
        <v>1.323</v>
      </c>
      <c r="I33" s="75">
        <f t="shared" si="4"/>
        <v>13.768717619047617</v>
      </c>
      <c r="J33" s="75"/>
      <c r="K33" s="75">
        <f t="shared" si="4"/>
        <v>20.797719999999998</v>
      </c>
      <c r="L33" s="75">
        <f t="shared" si="4"/>
        <v>300.56970000000001</v>
      </c>
      <c r="M33" s="75">
        <f t="shared" si="4"/>
        <v>15.135751666666666</v>
      </c>
      <c r="N33" s="75"/>
      <c r="O33" s="75">
        <f>O4+O5+O6+O7+O8+O9+O10+O11+O12+O13+O14+O15+O16+O17+O18+O19+O20+O21+O22+O23+O24+O25+O26+O27+O28+O29+O30+O31+O32</f>
        <v>1.6780954999999997</v>
      </c>
      <c r="P33" s="75">
        <f t="shared" si="4"/>
        <v>6.4654499999999997</v>
      </c>
      <c r="Q33" s="75">
        <f t="shared" si="4"/>
        <v>35.104523265306121</v>
      </c>
      <c r="R33" s="75"/>
      <c r="S33" s="75">
        <f t="shared" si="4"/>
        <v>12.18488</v>
      </c>
      <c r="T33" s="75">
        <f t="shared" si="4"/>
        <v>9.6285000000000007</v>
      </c>
      <c r="U33" s="75">
        <f t="shared" si="4"/>
        <v>168.7728875</v>
      </c>
      <c r="V33" s="75"/>
      <c r="W33" s="75">
        <f t="shared" si="4"/>
        <v>24.542999999999999</v>
      </c>
      <c r="X33" s="75">
        <f t="shared" si="4"/>
        <v>194.54150000000001</v>
      </c>
      <c r="Y33" s="75">
        <f t="shared" si="4"/>
        <v>4.7067888888888882</v>
      </c>
      <c r="Z33" s="75"/>
      <c r="AA33" s="75">
        <f t="shared" si="4"/>
        <v>68.032874000000021</v>
      </c>
      <c r="AB33" s="75">
        <f t="shared" si="4"/>
        <v>624.12085999999988</v>
      </c>
      <c r="AC33" s="75">
        <f t="shared" si="4"/>
        <v>16.389457777777775</v>
      </c>
      <c r="AD33" s="75"/>
      <c r="AE33" s="75">
        <f t="shared" si="4"/>
        <v>0.79420000000000002</v>
      </c>
      <c r="AF33" s="75">
        <f t="shared" si="4"/>
        <v>4.7850400000000013</v>
      </c>
      <c r="AG33" s="75">
        <f t="shared" si="4"/>
        <v>9.5464797501643659</v>
      </c>
      <c r="AH33" s="75"/>
      <c r="AI33" s="75">
        <f t="shared" si="4"/>
        <v>33.939554999999991</v>
      </c>
      <c r="AJ33" s="75">
        <f t="shared" si="4"/>
        <v>127.31472000000001</v>
      </c>
      <c r="AK33" s="75">
        <f t="shared" si="4"/>
        <v>250.22354404996719</v>
      </c>
      <c r="AL33" s="75"/>
      <c r="AM33" s="75">
        <f t="shared" si="4"/>
        <v>16.184899999999999</v>
      </c>
      <c r="AN33" s="75">
        <f t="shared" si="4"/>
        <v>98.429500000000004</v>
      </c>
      <c r="AO33" s="75">
        <f t="shared" si="4"/>
        <v>90.592261111111114</v>
      </c>
      <c r="AP33" s="75"/>
      <c r="AQ33" s="75">
        <f t="shared" si="4"/>
        <v>1.8179999999999998E-2</v>
      </c>
      <c r="AR33" s="75">
        <f t="shared" si="4"/>
        <v>0</v>
      </c>
      <c r="AS33" s="75">
        <f t="shared" si="4"/>
        <v>0.10475944444444445</v>
      </c>
      <c r="AT33" s="75"/>
      <c r="AU33" s="75">
        <f t="shared" si="4"/>
        <v>121.47487479999999</v>
      </c>
      <c r="AV33" s="75">
        <f t="shared" si="4"/>
        <v>334.60660590000003</v>
      </c>
      <c r="AW33" s="75">
        <f t="shared" si="4"/>
        <v>86.357701705493824</v>
      </c>
      <c r="AX33" s="75">
        <f t="shared" si="4"/>
        <v>303.3063353</v>
      </c>
      <c r="AY33" s="75">
        <f t="shared" si="4"/>
        <v>1703.0022659000003</v>
      </c>
      <c r="AZ33" s="75">
        <f t="shared" si="4"/>
        <v>692.83094388997904</v>
      </c>
      <c r="BA33">
        <f t="shared" si="3"/>
        <v>7.899054292487043</v>
      </c>
    </row>
    <row r="34" spans="1:53" x14ac:dyDescent="0.3">
      <c r="E34" s="354"/>
      <c r="F34" s="377">
        <f>(E33+D33)/C33</f>
        <v>7.3167054018299291</v>
      </c>
      <c r="G34" s="354"/>
      <c r="H34" s="354"/>
      <c r="I34" s="354"/>
      <c r="J34" s="377">
        <f t="shared" ref="J34:AT34" si="5">(I33+H33)/G33</f>
        <v>4.7149535491054229</v>
      </c>
      <c r="K34" s="354"/>
      <c r="L34" s="354"/>
      <c r="M34" s="354"/>
      <c r="N34" s="354">
        <f t="shared" si="5"/>
        <v>15.179810655526987</v>
      </c>
      <c r="O34" s="354"/>
      <c r="P34" s="354"/>
      <c r="Q34" s="354"/>
      <c r="R34" s="377">
        <f t="shared" si="5"/>
        <v>24.772114140885382</v>
      </c>
      <c r="S34" s="354"/>
      <c r="T34" s="354"/>
      <c r="U34" s="354"/>
      <c r="V34" s="377">
        <f t="shared" si="5"/>
        <v>14.641210048847425</v>
      </c>
      <c r="W34" s="354"/>
      <c r="X34" s="354"/>
      <c r="Y34" s="354"/>
      <c r="Z34" s="354">
        <f t="shared" si="5"/>
        <v>8.1183347141298494</v>
      </c>
      <c r="AA34" s="354"/>
      <c r="AB34" s="354"/>
      <c r="AC34" s="354"/>
      <c r="AD34" s="354">
        <f t="shared" si="5"/>
        <v>9.4147179167791375</v>
      </c>
      <c r="AE34" s="354"/>
      <c r="AF34" s="354"/>
      <c r="AG34" s="354"/>
      <c r="AH34" s="354">
        <f t="shared" si="5"/>
        <v>18.045227587716404</v>
      </c>
      <c r="AI34" s="354"/>
      <c r="AJ34" s="354"/>
      <c r="AK34" s="354"/>
      <c r="AL34" s="354">
        <f t="shared" si="5"/>
        <v>11.123842491451857</v>
      </c>
      <c r="AM34" s="354"/>
      <c r="AN34" s="354"/>
      <c r="AO34" s="354"/>
      <c r="AP34" s="354">
        <f t="shared" si="5"/>
        <v>11.678895829514618</v>
      </c>
      <c r="AQ34" s="354"/>
      <c r="AR34" s="354"/>
      <c r="AS34" s="354"/>
      <c r="AT34" s="354">
        <f t="shared" si="5"/>
        <v>5.7623456790123466</v>
      </c>
      <c r="AU34" s="354"/>
      <c r="AV34" s="354"/>
      <c r="AW34" s="354"/>
      <c r="AX34" s="354"/>
      <c r="AY34" s="354"/>
      <c r="AZ34" s="354"/>
      <c r="BA34" s="354"/>
    </row>
    <row r="35" spans="1:53" x14ac:dyDescent="0.3">
      <c r="AZ35" s="354"/>
    </row>
  </sheetData>
  <mergeCells count="26">
    <mergeCell ref="AN2:AO2"/>
    <mergeCell ref="AR2:AS2"/>
    <mergeCell ref="AV2:AW2"/>
    <mergeCell ref="AY2:AZ2"/>
    <mergeCell ref="AX1:AZ1"/>
    <mergeCell ref="AM1:AO1"/>
    <mergeCell ref="AQ1:AS1"/>
    <mergeCell ref="AU1:AW1"/>
    <mergeCell ref="D2:E2"/>
    <mergeCell ref="H2:I2"/>
    <mergeCell ref="L2:M2"/>
    <mergeCell ref="P2:Q2"/>
    <mergeCell ref="T2:U2"/>
    <mergeCell ref="X2:Y2"/>
    <mergeCell ref="AB2:AC2"/>
    <mergeCell ref="AF2:AG2"/>
    <mergeCell ref="AJ2:AK2"/>
    <mergeCell ref="AA1:AC1"/>
    <mergeCell ref="AE1:AG1"/>
    <mergeCell ref="AI1:AK1"/>
    <mergeCell ref="W1:Y1"/>
    <mergeCell ref="C1:E1"/>
    <mergeCell ref="G1:I1"/>
    <mergeCell ref="K1:M1"/>
    <mergeCell ref="O1:Q1"/>
    <mergeCell ref="S1:U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3517-AA59-4AD4-A3C1-40F24ECB7544}">
  <dimension ref="A1:BA34"/>
  <sheetViews>
    <sheetView topLeftCell="I25" workbookViewId="0">
      <selection activeCell="V34" sqref="V34"/>
    </sheetView>
  </sheetViews>
  <sheetFormatPr defaultRowHeight="14.4" x14ac:dyDescent="0.3"/>
  <cols>
    <col min="2" max="2" width="26.88671875" bestFit="1" customWidth="1"/>
  </cols>
  <sheetData>
    <row r="1" spans="1:53" ht="15.6" x14ac:dyDescent="0.3">
      <c r="A1" s="129" t="s">
        <v>75</v>
      </c>
      <c r="B1" s="130" t="s">
        <v>76</v>
      </c>
      <c r="C1" s="414" t="s">
        <v>1</v>
      </c>
      <c r="D1" s="414"/>
      <c r="E1" s="415"/>
      <c r="F1" s="318"/>
      <c r="G1" s="416" t="s">
        <v>2</v>
      </c>
      <c r="H1" s="414"/>
      <c r="I1" s="415"/>
      <c r="J1" s="318"/>
      <c r="K1" s="416" t="s">
        <v>3</v>
      </c>
      <c r="L1" s="414"/>
      <c r="M1" s="415"/>
      <c r="N1" s="318"/>
      <c r="O1" s="416" t="s">
        <v>4</v>
      </c>
      <c r="P1" s="414"/>
      <c r="Q1" s="415"/>
      <c r="R1" s="318"/>
      <c r="S1" s="416" t="s">
        <v>63</v>
      </c>
      <c r="T1" s="414"/>
      <c r="U1" s="415"/>
      <c r="V1" s="318"/>
      <c r="W1" s="416" t="s">
        <v>6</v>
      </c>
      <c r="X1" s="414"/>
      <c r="Y1" s="415"/>
      <c r="Z1" s="318"/>
      <c r="AA1" s="416" t="s">
        <v>77</v>
      </c>
      <c r="AB1" s="414"/>
      <c r="AC1" s="415"/>
      <c r="AD1" s="318"/>
      <c r="AE1" s="416" t="s">
        <v>78</v>
      </c>
      <c r="AF1" s="414"/>
      <c r="AG1" s="415"/>
      <c r="AH1" s="318"/>
      <c r="AI1" s="416" t="s">
        <v>9</v>
      </c>
      <c r="AJ1" s="414"/>
      <c r="AK1" s="415"/>
      <c r="AL1" s="318"/>
      <c r="AM1" s="416" t="s">
        <v>10</v>
      </c>
      <c r="AN1" s="414"/>
      <c r="AO1" s="415"/>
      <c r="AP1" s="318"/>
      <c r="AQ1" s="416" t="s">
        <v>11</v>
      </c>
      <c r="AR1" s="414"/>
      <c r="AS1" s="418"/>
      <c r="AT1" s="364"/>
      <c r="AU1" s="419" t="s">
        <v>79</v>
      </c>
      <c r="AV1" s="420"/>
      <c r="AW1" s="421"/>
      <c r="AX1" s="417" t="s">
        <v>53</v>
      </c>
      <c r="AY1" s="417"/>
      <c r="AZ1" s="417"/>
    </row>
    <row r="2" spans="1:53" ht="15.6" x14ac:dyDescent="0.3">
      <c r="A2" s="133"/>
      <c r="B2" s="130"/>
      <c r="C2" s="131" t="s">
        <v>14</v>
      </c>
      <c r="D2" s="416" t="s">
        <v>15</v>
      </c>
      <c r="E2" s="415"/>
      <c r="F2" s="131"/>
      <c r="G2" s="134" t="s">
        <v>14</v>
      </c>
      <c r="H2" s="416" t="s">
        <v>15</v>
      </c>
      <c r="I2" s="415"/>
      <c r="J2" s="131"/>
      <c r="K2" s="134" t="s">
        <v>14</v>
      </c>
      <c r="L2" s="416" t="s">
        <v>15</v>
      </c>
      <c r="M2" s="415"/>
      <c r="N2" s="131"/>
      <c r="O2" s="134" t="s">
        <v>14</v>
      </c>
      <c r="P2" s="416" t="s">
        <v>15</v>
      </c>
      <c r="Q2" s="415"/>
      <c r="R2" s="131"/>
      <c r="S2" s="134" t="s">
        <v>14</v>
      </c>
      <c r="T2" s="416" t="s">
        <v>15</v>
      </c>
      <c r="U2" s="415"/>
      <c r="V2" s="131"/>
      <c r="W2" s="134" t="s">
        <v>14</v>
      </c>
      <c r="X2" s="416" t="s">
        <v>15</v>
      </c>
      <c r="Y2" s="415"/>
      <c r="Z2" s="131"/>
      <c r="AA2" s="134" t="s">
        <v>14</v>
      </c>
      <c r="AB2" s="416" t="s">
        <v>15</v>
      </c>
      <c r="AC2" s="415"/>
      <c r="AD2" s="131"/>
      <c r="AE2" s="134" t="s">
        <v>14</v>
      </c>
      <c r="AF2" s="416" t="s">
        <v>15</v>
      </c>
      <c r="AG2" s="415"/>
      <c r="AH2" s="131"/>
      <c r="AI2" s="134" t="s">
        <v>14</v>
      </c>
      <c r="AJ2" s="416" t="s">
        <v>15</v>
      </c>
      <c r="AK2" s="415"/>
      <c r="AL2" s="131"/>
      <c r="AM2" s="134" t="s">
        <v>14</v>
      </c>
      <c r="AN2" s="416" t="s">
        <v>15</v>
      </c>
      <c r="AO2" s="415"/>
      <c r="AP2" s="131"/>
      <c r="AQ2" s="134" t="s">
        <v>14</v>
      </c>
      <c r="AR2" s="416" t="s">
        <v>15</v>
      </c>
      <c r="AS2" s="415"/>
      <c r="AT2" s="131"/>
      <c r="AU2" s="134" t="s">
        <v>14</v>
      </c>
      <c r="AV2" s="416" t="s">
        <v>15</v>
      </c>
      <c r="AW2" s="415"/>
      <c r="AX2" s="134" t="s">
        <v>14</v>
      </c>
      <c r="AY2" s="416" t="s">
        <v>15</v>
      </c>
      <c r="AZ2" s="415"/>
    </row>
    <row r="3" spans="1:53" ht="15.6" x14ac:dyDescent="0.3">
      <c r="A3" s="135"/>
      <c r="B3" s="136"/>
      <c r="C3" s="131"/>
      <c r="D3" s="134" t="s">
        <v>70</v>
      </c>
      <c r="E3" s="134" t="s">
        <v>71</v>
      </c>
      <c r="F3" s="134"/>
      <c r="G3" s="134"/>
      <c r="H3" s="134" t="s">
        <v>70</v>
      </c>
      <c r="I3" s="134" t="s">
        <v>71</v>
      </c>
      <c r="J3" s="134"/>
      <c r="K3" s="134"/>
      <c r="L3" s="134" t="s">
        <v>70</v>
      </c>
      <c r="M3" s="134" t="s">
        <v>71</v>
      </c>
      <c r="N3" s="134"/>
      <c r="O3" s="134"/>
      <c r="P3" s="134" t="s">
        <v>70</v>
      </c>
      <c r="Q3" s="134" t="s">
        <v>71</v>
      </c>
      <c r="R3" s="131"/>
      <c r="S3" s="131"/>
      <c r="T3" s="134" t="s">
        <v>70</v>
      </c>
      <c r="U3" s="134" t="s">
        <v>71</v>
      </c>
      <c r="V3" s="134"/>
      <c r="W3" s="134"/>
      <c r="X3" s="134" t="s">
        <v>70</v>
      </c>
      <c r="Y3" s="134" t="s">
        <v>71</v>
      </c>
      <c r="Z3" s="134"/>
      <c r="AA3" s="134"/>
      <c r="AB3" s="134" t="s">
        <v>70</v>
      </c>
      <c r="AC3" s="134" t="s">
        <v>71</v>
      </c>
      <c r="AD3" s="134"/>
      <c r="AE3" s="134"/>
      <c r="AF3" s="134" t="s">
        <v>70</v>
      </c>
      <c r="AG3" s="134" t="s">
        <v>71</v>
      </c>
      <c r="AH3" s="134"/>
      <c r="AI3" s="134"/>
      <c r="AJ3" s="134" t="s">
        <v>70</v>
      </c>
      <c r="AK3" s="134" t="s">
        <v>71</v>
      </c>
      <c r="AL3" s="134"/>
      <c r="AM3" s="134"/>
      <c r="AN3" s="134" t="s">
        <v>70</v>
      </c>
      <c r="AO3" s="134" t="s">
        <v>71</v>
      </c>
      <c r="AP3" s="134"/>
      <c r="AQ3" s="134"/>
      <c r="AR3" s="134" t="s">
        <v>70</v>
      </c>
      <c r="AS3" s="134" t="s">
        <v>71</v>
      </c>
      <c r="AT3" s="364"/>
      <c r="AU3" s="132"/>
      <c r="AV3" s="134" t="s">
        <v>70</v>
      </c>
      <c r="AW3" s="134" t="s">
        <v>71</v>
      </c>
      <c r="AX3" s="132"/>
      <c r="AY3" s="132" t="s">
        <v>70</v>
      </c>
      <c r="AZ3" s="132" t="s">
        <v>71</v>
      </c>
    </row>
    <row r="4" spans="1:53" ht="18" x14ac:dyDescent="0.35">
      <c r="A4" s="137">
        <v>1</v>
      </c>
      <c r="B4" s="138" t="s">
        <v>20</v>
      </c>
      <c r="C4" s="139"/>
      <c r="D4" s="140"/>
      <c r="E4" s="140"/>
      <c r="F4" s="140"/>
      <c r="G4" s="140"/>
      <c r="H4" s="140"/>
      <c r="I4" s="140"/>
      <c r="J4" s="140"/>
      <c r="K4" s="141">
        <v>6.0590000000000002</v>
      </c>
      <c r="L4" s="141">
        <v>260.892</v>
      </c>
      <c r="M4" s="140"/>
      <c r="N4" s="140"/>
      <c r="O4" s="140"/>
      <c r="P4" s="142"/>
      <c r="Q4" s="143"/>
      <c r="R4" s="361"/>
      <c r="S4" s="139"/>
      <c r="T4" s="144"/>
      <c r="U4" s="140"/>
      <c r="V4" s="140"/>
      <c r="W4" s="140">
        <v>3.996</v>
      </c>
      <c r="X4" s="140">
        <v>22.704999999999998</v>
      </c>
      <c r="Y4" s="140"/>
      <c r="Z4" s="140"/>
      <c r="AA4" s="140">
        <v>9.548</v>
      </c>
      <c r="AB4" s="140">
        <v>103.092</v>
      </c>
      <c r="AC4" s="140"/>
      <c r="AD4" s="140"/>
      <c r="AE4" s="140"/>
      <c r="AF4" s="140"/>
      <c r="AG4" s="140"/>
      <c r="AH4" s="140"/>
      <c r="AI4" s="140">
        <v>0.53300000000000003</v>
      </c>
      <c r="AJ4" s="140">
        <v>2.4900000000000002</v>
      </c>
      <c r="AK4" s="140"/>
      <c r="AL4" s="140"/>
      <c r="AM4" s="140">
        <v>1.758</v>
      </c>
      <c r="AN4" s="140">
        <v>12.43</v>
      </c>
      <c r="AO4" s="140"/>
      <c r="AP4" s="140"/>
      <c r="AQ4" s="140"/>
      <c r="AR4" s="140"/>
      <c r="AS4" s="140"/>
      <c r="AT4" s="145"/>
      <c r="AU4" s="145">
        <v>3.8410000000000002</v>
      </c>
      <c r="AV4" s="145">
        <v>27.344000000000001</v>
      </c>
      <c r="AW4" s="146"/>
      <c r="AX4" s="147">
        <v>25.735000000000003</v>
      </c>
      <c r="AY4" s="147">
        <v>428.95299999999997</v>
      </c>
      <c r="AZ4" s="147">
        <v>0</v>
      </c>
      <c r="BA4">
        <f>(AZ4+AY4)/AX4</f>
        <v>16.668078492325623</v>
      </c>
    </row>
    <row r="5" spans="1:53" ht="18" x14ac:dyDescent="0.35">
      <c r="A5" s="137">
        <v>2</v>
      </c>
      <c r="B5" s="148" t="s">
        <v>64</v>
      </c>
      <c r="C5" s="149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>
        <v>1E-3</v>
      </c>
      <c r="P5" s="150">
        <v>1E-3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>
        <v>1E-3</v>
      </c>
      <c r="AJ5" s="150">
        <v>2E-3</v>
      </c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47">
        <v>2E-3</v>
      </c>
      <c r="AY5" s="147">
        <v>3.0000000000000001E-3</v>
      </c>
      <c r="AZ5" s="147">
        <v>0</v>
      </c>
      <c r="BA5">
        <f t="shared" ref="BA5:BA33" si="0">(AZ5+AY5)/AX5</f>
        <v>1.5</v>
      </c>
    </row>
    <row r="6" spans="1:53" ht="18" x14ac:dyDescent="0.35">
      <c r="A6" s="137">
        <v>3</v>
      </c>
      <c r="B6" s="151" t="s">
        <v>22</v>
      </c>
      <c r="C6" s="139">
        <v>0.126</v>
      </c>
      <c r="D6" s="140">
        <v>0.86299999999999999</v>
      </c>
      <c r="E6" s="140">
        <v>1.1499999999999999</v>
      </c>
      <c r="F6" s="140"/>
      <c r="G6" s="140">
        <v>0.186</v>
      </c>
      <c r="H6" s="140">
        <v>1.2629999999999999</v>
      </c>
      <c r="I6" s="140">
        <v>1.4619047619047618</v>
      </c>
      <c r="J6" s="140"/>
      <c r="K6" s="140">
        <v>0.246</v>
      </c>
      <c r="L6" s="140">
        <v>1.7170000000000001</v>
      </c>
      <c r="M6" s="140">
        <v>2.2833333333333332</v>
      </c>
      <c r="N6" s="140"/>
      <c r="O6" s="140">
        <v>0.76600000000000001</v>
      </c>
      <c r="P6" s="142">
        <v>5.3079999999999998</v>
      </c>
      <c r="Q6" s="143">
        <v>7.3428571428571425</v>
      </c>
      <c r="R6" s="361"/>
      <c r="S6" s="139">
        <v>0.42599999999999999</v>
      </c>
      <c r="T6" s="144">
        <v>2.851</v>
      </c>
      <c r="U6" s="140">
        <v>8.9625000000000004</v>
      </c>
      <c r="V6" s="140"/>
      <c r="W6" s="140">
        <v>0.26600000000000001</v>
      </c>
      <c r="X6" s="140">
        <v>1.788</v>
      </c>
      <c r="Y6" s="140">
        <v>2.4777777777777779</v>
      </c>
      <c r="Z6" s="140"/>
      <c r="AA6" s="140">
        <v>0.60599999999999998</v>
      </c>
      <c r="AB6" s="140">
        <v>4.0380000000000003</v>
      </c>
      <c r="AC6" s="140">
        <v>5.7055555555555557</v>
      </c>
      <c r="AD6" s="140"/>
      <c r="AE6" s="140">
        <v>0.72699999999999998</v>
      </c>
      <c r="AF6" s="140">
        <v>4.827</v>
      </c>
      <c r="AG6" s="140">
        <v>9.6</v>
      </c>
      <c r="AH6" s="140"/>
      <c r="AI6" s="140">
        <v>0.40100000000000002</v>
      </c>
      <c r="AJ6" s="140">
        <v>2.7160000000000002</v>
      </c>
      <c r="AK6" s="140">
        <v>5.3230769230769228</v>
      </c>
      <c r="AL6" s="140"/>
      <c r="AM6" s="140">
        <v>0.34100000000000003</v>
      </c>
      <c r="AN6" s="140">
        <v>2.2890000000000001</v>
      </c>
      <c r="AO6" s="140">
        <v>3.25</v>
      </c>
      <c r="AP6" s="140"/>
      <c r="AQ6" s="140"/>
      <c r="AR6" s="140"/>
      <c r="AS6" s="140"/>
      <c r="AT6" s="140"/>
      <c r="AU6" s="140">
        <v>0.96599999999999997</v>
      </c>
      <c r="AV6" s="140">
        <v>6.2679999999999998</v>
      </c>
      <c r="AW6" s="152">
        <v>8.5222222222222221</v>
      </c>
      <c r="AX6" s="147">
        <v>5.0570000000000004</v>
      </c>
      <c r="AY6" s="147">
        <v>33.928000000000004</v>
      </c>
      <c r="AZ6" s="147">
        <v>56.079227716727715</v>
      </c>
      <c r="BA6">
        <f t="shared" si="0"/>
        <v>17.798542162690868</v>
      </c>
    </row>
    <row r="7" spans="1:53" ht="18" x14ac:dyDescent="0.35">
      <c r="A7" s="137">
        <v>4</v>
      </c>
      <c r="B7" s="151" t="s">
        <v>23</v>
      </c>
      <c r="C7" s="149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>
        <v>0.54</v>
      </c>
      <c r="AB7" s="150">
        <v>5.5410000000000004</v>
      </c>
      <c r="AC7" s="150"/>
      <c r="AD7" s="150"/>
      <c r="AE7" s="150"/>
      <c r="AF7" s="150"/>
      <c r="AG7" s="150"/>
      <c r="AH7" s="150"/>
      <c r="AI7" s="150">
        <v>3.0000000000000001E-3</v>
      </c>
      <c r="AJ7" s="150"/>
      <c r="AK7" s="150">
        <v>0.12307692307692308</v>
      </c>
      <c r="AL7" s="150"/>
      <c r="AM7" s="150"/>
      <c r="AN7" s="150"/>
      <c r="AO7" s="150"/>
      <c r="AP7" s="150"/>
      <c r="AQ7" s="150">
        <v>2E-3</v>
      </c>
      <c r="AR7" s="150"/>
      <c r="AS7" s="150">
        <v>0</v>
      </c>
      <c r="AT7" s="150"/>
      <c r="AU7" s="150"/>
      <c r="AV7" s="150"/>
      <c r="AW7" s="150">
        <v>1.0145449999999999E-3</v>
      </c>
      <c r="AX7" s="147">
        <v>0.54500000000000004</v>
      </c>
      <c r="AY7" s="147">
        <v>5.5410000000000004</v>
      </c>
      <c r="AZ7" s="147">
        <v>0.12409146807692309</v>
      </c>
      <c r="BA7">
        <f t="shared" si="0"/>
        <v>10.39466324417784</v>
      </c>
    </row>
    <row r="8" spans="1:53" ht="18" x14ac:dyDescent="0.35">
      <c r="A8" s="137">
        <v>5</v>
      </c>
      <c r="B8" s="151" t="s">
        <v>57</v>
      </c>
      <c r="C8" s="139"/>
      <c r="D8" s="140"/>
      <c r="E8" s="140"/>
      <c r="F8" s="140"/>
      <c r="G8" s="140"/>
      <c r="H8" s="140"/>
      <c r="I8" s="140"/>
      <c r="J8" s="140"/>
      <c r="K8" s="140">
        <v>0.29199999999999998</v>
      </c>
      <c r="L8" s="140">
        <v>0.89800000000000002</v>
      </c>
      <c r="M8" s="140"/>
      <c r="N8" s="140"/>
      <c r="O8" s="140"/>
      <c r="P8" s="142"/>
      <c r="Q8" s="143"/>
      <c r="R8" s="143"/>
      <c r="S8" s="152">
        <v>2.3380000000000001</v>
      </c>
      <c r="T8" s="150">
        <v>1.581</v>
      </c>
      <c r="U8" s="153">
        <v>1.54960275</v>
      </c>
      <c r="V8" s="362"/>
      <c r="W8" s="139">
        <v>4.2000000000000003E-2</v>
      </c>
      <c r="X8" s="140">
        <v>6.7000000000000004E-2</v>
      </c>
      <c r="Y8" s="140"/>
      <c r="Z8" s="140"/>
      <c r="AA8" s="140">
        <v>4.6719999999999997</v>
      </c>
      <c r="AB8" s="140">
        <v>29.731999999999999</v>
      </c>
      <c r="AC8" s="140">
        <v>18.977777777777778</v>
      </c>
      <c r="AD8" s="140"/>
      <c r="AE8" s="140"/>
      <c r="AF8" s="140"/>
      <c r="AG8" s="140"/>
      <c r="AH8" s="140"/>
      <c r="AI8" s="140">
        <v>1.1819999999999999</v>
      </c>
      <c r="AJ8" s="140">
        <v>0.53100000000000003</v>
      </c>
      <c r="AK8" s="140">
        <v>0.86980769230769228</v>
      </c>
      <c r="AL8" s="140"/>
      <c r="AM8" s="140">
        <v>1.645</v>
      </c>
      <c r="AN8" s="140">
        <v>6.4989999999999997</v>
      </c>
      <c r="AO8" s="140">
        <v>0.74444444444444446</v>
      </c>
      <c r="AP8" s="140"/>
      <c r="AQ8" s="140"/>
      <c r="AR8" s="140"/>
      <c r="AS8" s="140"/>
      <c r="AT8" s="140"/>
      <c r="AU8" s="140">
        <v>3.0049999999999999</v>
      </c>
      <c r="AV8" s="140">
        <v>8.1449999999999996</v>
      </c>
      <c r="AW8" s="152">
        <v>4.0277777777777777</v>
      </c>
      <c r="AX8" s="147">
        <v>13.175999999999998</v>
      </c>
      <c r="AY8" s="147">
        <v>47.453000000000003</v>
      </c>
      <c r="AZ8" s="147">
        <v>26.169410442307694</v>
      </c>
      <c r="BA8">
        <f t="shared" si="0"/>
        <v>5.5876146358764194</v>
      </c>
    </row>
    <row r="9" spans="1:53" ht="18" x14ac:dyDescent="0.35">
      <c r="A9" s="137">
        <v>6</v>
      </c>
      <c r="B9" s="151" t="s">
        <v>29</v>
      </c>
      <c r="C9" s="139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2"/>
      <c r="Q9" s="143"/>
      <c r="R9" s="361"/>
      <c r="S9" s="154"/>
      <c r="T9" s="155"/>
      <c r="U9" s="145"/>
      <c r="V9" s="145"/>
      <c r="W9" s="140">
        <v>0.76100000000000001</v>
      </c>
      <c r="X9" s="140">
        <v>6.8550000000000004</v>
      </c>
      <c r="Y9" s="140"/>
      <c r="Z9" s="140"/>
      <c r="AA9" s="140">
        <v>8.8179999999999996</v>
      </c>
      <c r="AB9" s="140">
        <v>84.414000000000001</v>
      </c>
      <c r="AC9" s="140"/>
      <c r="AD9" s="140"/>
      <c r="AE9" s="140"/>
      <c r="AF9" s="140"/>
      <c r="AG9" s="140"/>
      <c r="AH9" s="140"/>
      <c r="AI9" s="140">
        <v>4.4870000000000001</v>
      </c>
      <c r="AJ9" s="140">
        <v>0</v>
      </c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>
        <v>6.36</v>
      </c>
      <c r="AV9" s="140">
        <v>60.886000000000003</v>
      </c>
      <c r="AW9" s="152"/>
      <c r="AX9" s="147">
        <v>20.425999999999998</v>
      </c>
      <c r="AY9" s="147">
        <v>152.155</v>
      </c>
      <c r="AZ9" s="147">
        <v>0</v>
      </c>
      <c r="BA9">
        <f t="shared" si="0"/>
        <v>7.4490845001468724</v>
      </c>
    </row>
    <row r="10" spans="1:53" ht="18" x14ac:dyDescent="0.35">
      <c r="A10" s="137">
        <v>7</v>
      </c>
      <c r="B10" s="151" t="s">
        <v>30</v>
      </c>
      <c r="C10" s="139"/>
      <c r="D10" s="140"/>
      <c r="E10" s="140"/>
      <c r="F10" s="140"/>
      <c r="G10" s="140"/>
      <c r="H10" s="140"/>
      <c r="I10" s="140"/>
      <c r="J10" s="140"/>
      <c r="K10" s="140">
        <v>4.4999999999999998E-2</v>
      </c>
      <c r="L10" s="140">
        <v>0.06</v>
      </c>
      <c r="M10" s="156">
        <v>0.13333333333333333</v>
      </c>
      <c r="N10" s="156"/>
      <c r="O10" s="140">
        <v>3.5999999999999997E-2</v>
      </c>
      <c r="P10" s="142"/>
      <c r="Q10" s="143">
        <v>1</v>
      </c>
      <c r="R10" s="361"/>
      <c r="S10" s="139">
        <v>0.114</v>
      </c>
      <c r="T10" s="144"/>
      <c r="U10" s="140">
        <v>1.3</v>
      </c>
      <c r="V10" s="140"/>
      <c r="W10" s="140"/>
      <c r="X10" s="140"/>
      <c r="Y10" s="140"/>
      <c r="Z10" s="140"/>
      <c r="AA10" s="140">
        <v>4.9189999999999996</v>
      </c>
      <c r="AB10" s="140">
        <v>55.252000000000002</v>
      </c>
      <c r="AC10" s="140"/>
      <c r="AD10" s="140"/>
      <c r="AE10" s="140"/>
      <c r="AF10" s="140"/>
      <c r="AG10" s="140"/>
      <c r="AH10" s="140"/>
      <c r="AI10" s="140">
        <v>0.15500000000000003</v>
      </c>
      <c r="AJ10" s="140">
        <v>1.121</v>
      </c>
      <c r="AK10" s="140">
        <v>0.84615384615384615</v>
      </c>
      <c r="AL10" s="140"/>
      <c r="AM10" s="140">
        <v>0.114</v>
      </c>
      <c r="AN10" s="140"/>
      <c r="AO10" s="140">
        <v>0.57777777777777772</v>
      </c>
      <c r="AP10" s="140"/>
      <c r="AQ10" s="140"/>
      <c r="AR10" s="140"/>
      <c r="AS10" s="140"/>
      <c r="AT10" s="140"/>
      <c r="AU10" s="140">
        <v>0.10199999999999999</v>
      </c>
      <c r="AV10" s="140">
        <v>0.29699999999999999</v>
      </c>
      <c r="AW10" s="152">
        <v>0.60555555555555551</v>
      </c>
      <c r="AX10" s="147">
        <v>5.4850000000000003</v>
      </c>
      <c r="AY10" s="147">
        <v>56.730000000000004</v>
      </c>
      <c r="AZ10" s="147">
        <v>4.462820512820513</v>
      </c>
      <c r="BA10">
        <f t="shared" si="0"/>
        <v>11.156393894771288</v>
      </c>
    </row>
    <row r="11" spans="1:53" ht="18" x14ac:dyDescent="0.35">
      <c r="A11" s="137">
        <v>8</v>
      </c>
      <c r="B11" s="151" t="s">
        <v>31</v>
      </c>
      <c r="C11" s="139"/>
      <c r="D11" s="140"/>
      <c r="E11" s="140"/>
      <c r="F11" s="140"/>
      <c r="G11" s="140">
        <v>6.9000000000000006E-2</v>
      </c>
      <c r="H11" s="140"/>
      <c r="I11" s="140">
        <v>3.1523809523809523</v>
      </c>
      <c r="J11" s="140"/>
      <c r="K11" s="140">
        <v>0.218</v>
      </c>
      <c r="L11" s="140">
        <v>6.2279999999999998</v>
      </c>
      <c r="M11" s="140">
        <v>2.7777777777777777</v>
      </c>
      <c r="N11" s="140"/>
      <c r="O11" s="140">
        <v>6.0000000000000001E-3</v>
      </c>
      <c r="P11" s="142"/>
      <c r="Q11" s="143">
        <v>0.38285714285714284</v>
      </c>
      <c r="R11" s="361"/>
      <c r="S11" s="139">
        <v>3.6999999999999998E-2</v>
      </c>
      <c r="T11" s="144"/>
      <c r="U11" s="140">
        <v>0.93333333333333335</v>
      </c>
      <c r="V11" s="140"/>
      <c r="W11" s="140"/>
      <c r="X11" s="140"/>
      <c r="Y11" s="140"/>
      <c r="Z11" s="140"/>
      <c r="AA11" s="140">
        <v>0.13600000000000001</v>
      </c>
      <c r="AB11" s="140">
        <v>6.1189999999999998</v>
      </c>
      <c r="AC11" s="140"/>
      <c r="AD11" s="140"/>
      <c r="AE11" s="140"/>
      <c r="AF11" s="140"/>
      <c r="AG11" s="140"/>
      <c r="AH11" s="140"/>
      <c r="AI11" s="140">
        <v>4.3999999999999997E-2</v>
      </c>
      <c r="AJ11" s="140"/>
      <c r="AK11" s="140">
        <v>2.5076923076923077</v>
      </c>
      <c r="AL11" s="140"/>
      <c r="AM11" s="140"/>
      <c r="AN11" s="140"/>
      <c r="AO11" s="140"/>
      <c r="AP11" s="140"/>
      <c r="AQ11" s="140"/>
      <c r="AR11" s="140"/>
      <c r="AS11" s="140"/>
      <c r="AT11" s="140"/>
      <c r="AU11" s="140">
        <v>0.13400000000000001</v>
      </c>
      <c r="AV11" s="140">
        <v>5.9999999999999995E-4</v>
      </c>
      <c r="AW11" s="152">
        <v>0.80555555555555558</v>
      </c>
      <c r="AX11" s="147">
        <v>0.64400000000000002</v>
      </c>
      <c r="AY11" s="147">
        <v>12.3476</v>
      </c>
      <c r="AZ11" s="147">
        <v>10.55959706959707</v>
      </c>
      <c r="BA11">
        <f t="shared" si="0"/>
        <v>35.570181785088614</v>
      </c>
    </row>
    <row r="12" spans="1:53" ht="18" x14ac:dyDescent="0.35">
      <c r="A12" s="137">
        <v>9</v>
      </c>
      <c r="B12" s="151" t="s">
        <v>32</v>
      </c>
      <c r="C12" s="139">
        <v>0.16159999999999999</v>
      </c>
      <c r="D12" s="140"/>
      <c r="E12" s="140"/>
      <c r="F12" s="140"/>
      <c r="G12" s="140">
        <v>2.7875999999999999</v>
      </c>
      <c r="H12" s="140">
        <v>0</v>
      </c>
      <c r="I12" s="140">
        <v>0.15323142857142857</v>
      </c>
      <c r="J12" s="140"/>
      <c r="K12" s="140">
        <v>3.8177999999999996</v>
      </c>
      <c r="L12" s="140">
        <v>2.5855999999999999</v>
      </c>
      <c r="M12" s="140">
        <v>1.4196111111111109E-2</v>
      </c>
      <c r="N12" s="140"/>
      <c r="O12" s="140">
        <v>3.0300000000000001E-3</v>
      </c>
      <c r="P12" s="142">
        <v>0</v>
      </c>
      <c r="Q12" s="143">
        <v>0</v>
      </c>
      <c r="R12" s="361"/>
      <c r="S12" s="139">
        <v>3.4340000000000002E-2</v>
      </c>
      <c r="T12" s="144"/>
      <c r="U12" s="140"/>
      <c r="V12" s="140"/>
      <c r="W12" s="140">
        <v>0</v>
      </c>
      <c r="X12" s="140">
        <v>0</v>
      </c>
      <c r="Y12" s="140">
        <v>1.1222222222222222E-3</v>
      </c>
      <c r="Z12" s="140"/>
      <c r="AA12" s="140">
        <v>0.33431</v>
      </c>
      <c r="AB12" s="140">
        <v>0.26563000000000003</v>
      </c>
      <c r="AC12" s="140"/>
      <c r="AD12" s="140"/>
      <c r="AE12" s="140"/>
      <c r="AF12" s="140"/>
      <c r="AG12" s="140">
        <v>0</v>
      </c>
      <c r="AH12" s="140"/>
      <c r="AI12" s="140">
        <v>1.9189999999999999E-2</v>
      </c>
      <c r="AJ12" s="140">
        <v>1.515E-2</v>
      </c>
      <c r="AK12" s="140"/>
      <c r="AL12" s="140"/>
      <c r="AM12" s="140">
        <v>0.79790000000000005</v>
      </c>
      <c r="AN12" s="140">
        <v>1.01E-2</v>
      </c>
      <c r="AO12" s="140">
        <v>1.963888888888889E-2</v>
      </c>
      <c r="AP12" s="140"/>
      <c r="AQ12" s="140">
        <v>1.8179999999999998E-2</v>
      </c>
      <c r="AR12" s="140"/>
      <c r="AS12" s="140">
        <v>0.10475944444444445</v>
      </c>
      <c r="AT12" s="140"/>
      <c r="AU12" s="140">
        <v>41.601900000000001</v>
      </c>
      <c r="AV12" s="140">
        <v>26.825599999999998</v>
      </c>
      <c r="AW12" s="152">
        <v>0.10200999999999999</v>
      </c>
      <c r="AX12" s="147">
        <v>49.575850000000003</v>
      </c>
      <c r="AY12" s="147">
        <v>29.702079999999999</v>
      </c>
      <c r="AZ12" s="147">
        <v>0.39495809523809522</v>
      </c>
      <c r="BA12">
        <f t="shared" si="0"/>
        <v>0.60709071241820545</v>
      </c>
    </row>
    <row r="13" spans="1:53" ht="18" x14ac:dyDescent="0.35">
      <c r="A13" s="137">
        <v>10</v>
      </c>
      <c r="B13" s="151" t="s">
        <v>33</v>
      </c>
      <c r="C13" s="139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2"/>
      <c r="Q13" s="143"/>
      <c r="R13" s="361"/>
      <c r="S13" s="139"/>
      <c r="T13" s="144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>
        <v>0.79600000000000004</v>
      </c>
      <c r="AV13" s="140">
        <v>4.4710000000000001</v>
      </c>
      <c r="AW13" s="152">
        <v>8.6148555555555557</v>
      </c>
      <c r="AX13" s="147">
        <v>0.79600000000000004</v>
      </c>
      <c r="AY13" s="147">
        <v>4.4710000000000001</v>
      </c>
      <c r="AZ13" s="147">
        <v>8.6148555555555557</v>
      </c>
      <c r="BA13">
        <f t="shared" si="0"/>
        <v>16.439517029592405</v>
      </c>
    </row>
    <row r="14" spans="1:53" ht="18" x14ac:dyDescent="0.35">
      <c r="A14" s="157">
        <v>11</v>
      </c>
      <c r="B14" s="158" t="s">
        <v>34</v>
      </c>
      <c r="C14" s="159">
        <v>4.4999999999999998E-2</v>
      </c>
      <c r="D14" s="160"/>
      <c r="E14" s="160">
        <v>0.80555555555555558</v>
      </c>
      <c r="F14" s="160"/>
      <c r="G14" s="160">
        <v>1.9E-2</v>
      </c>
      <c r="H14" s="160"/>
      <c r="I14" s="160">
        <v>0.70476190476190481</v>
      </c>
      <c r="J14" s="160"/>
      <c r="K14" s="160">
        <v>5.8079999999999998</v>
      </c>
      <c r="L14" s="160">
        <v>70.16</v>
      </c>
      <c r="M14" s="160"/>
      <c r="N14" s="160"/>
      <c r="O14" s="160">
        <v>0.09</v>
      </c>
      <c r="P14" s="161"/>
      <c r="Q14" s="162">
        <v>2.2799999999999998</v>
      </c>
      <c r="R14" s="361"/>
      <c r="S14" s="159">
        <v>0.27700000000000002</v>
      </c>
      <c r="T14" s="163"/>
      <c r="U14" s="160">
        <v>8.9625000000000004</v>
      </c>
      <c r="V14" s="160"/>
      <c r="W14" s="160">
        <v>5.53</v>
      </c>
      <c r="X14" s="160">
        <v>36.316000000000003</v>
      </c>
      <c r="Y14" s="160"/>
      <c r="Z14" s="160"/>
      <c r="AA14" s="160">
        <v>9.8759999999999994</v>
      </c>
      <c r="AB14" s="160">
        <v>89.215999999999994</v>
      </c>
      <c r="AC14" s="160"/>
      <c r="AD14" s="160"/>
      <c r="AE14" s="160">
        <v>6.0000000000000001E-3</v>
      </c>
      <c r="AF14" s="160"/>
      <c r="AG14" s="160">
        <v>1.5384615384615385E-2</v>
      </c>
      <c r="AH14" s="160"/>
      <c r="AI14" s="160">
        <v>3.0230000000000001</v>
      </c>
      <c r="AJ14" s="160"/>
      <c r="AK14" s="160">
        <v>76.907692307692301</v>
      </c>
      <c r="AL14" s="160"/>
      <c r="AM14" s="160">
        <v>2.3079999999999998</v>
      </c>
      <c r="AN14" s="160">
        <v>17.100000000000001</v>
      </c>
      <c r="AO14" s="160">
        <v>2.8777777777777778</v>
      </c>
      <c r="AP14" s="160"/>
      <c r="AQ14" s="160"/>
      <c r="AR14" s="160"/>
      <c r="AS14" s="160"/>
      <c r="AT14" s="160"/>
      <c r="AU14" s="160">
        <v>4.3739999999999997</v>
      </c>
      <c r="AV14" s="160">
        <v>18.166</v>
      </c>
      <c r="AW14" s="164">
        <v>0.34444444444444444</v>
      </c>
      <c r="AX14" s="147">
        <v>31.355999999999998</v>
      </c>
      <c r="AY14" s="147">
        <v>230.958</v>
      </c>
      <c r="AZ14" s="147">
        <v>92.898116605616607</v>
      </c>
      <c r="BA14">
        <f t="shared" si="0"/>
        <v>10.328361927720902</v>
      </c>
    </row>
    <row r="15" spans="1:53" ht="18" x14ac:dyDescent="0.35">
      <c r="A15" s="137">
        <v>12</v>
      </c>
      <c r="B15" s="165" t="s">
        <v>35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43"/>
      <c r="R15" s="143"/>
      <c r="S15" s="152"/>
      <c r="T15" s="153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>
        <v>38.244999999999997</v>
      </c>
      <c r="AV15" s="152">
        <v>7.7209E-2</v>
      </c>
      <c r="AW15" s="152">
        <v>28.157777777777774</v>
      </c>
      <c r="AX15" s="147">
        <v>38.244999999999997</v>
      </c>
      <c r="AY15" s="147">
        <v>7.7209E-2</v>
      </c>
      <c r="AZ15" s="147">
        <v>28.157777777777774</v>
      </c>
      <c r="BA15">
        <f t="shared" si="0"/>
        <v>0.7382660943333188</v>
      </c>
    </row>
    <row r="16" spans="1:53" ht="18" x14ac:dyDescent="0.35">
      <c r="A16" s="166">
        <v>13</v>
      </c>
      <c r="B16" s="167" t="s">
        <v>37</v>
      </c>
      <c r="C16" s="154"/>
      <c r="D16" s="145"/>
      <c r="E16" s="145"/>
      <c r="F16" s="145"/>
      <c r="G16" s="145"/>
      <c r="H16" s="145"/>
      <c r="I16" s="145"/>
      <c r="J16" s="145"/>
      <c r="K16" s="145">
        <v>1.0660000000000001</v>
      </c>
      <c r="L16" s="145">
        <v>13.288</v>
      </c>
      <c r="M16" s="145"/>
      <c r="N16" s="145"/>
      <c r="O16" s="145">
        <v>2.1000000000000001E-2</v>
      </c>
      <c r="P16" s="168">
        <v>0.09</v>
      </c>
      <c r="Q16" s="169">
        <v>0.75428571428571434</v>
      </c>
      <c r="R16" s="361"/>
      <c r="S16" s="154">
        <v>0.56499999999999995</v>
      </c>
      <c r="T16" s="155">
        <v>2.7709999999999999</v>
      </c>
      <c r="U16" s="145">
        <v>2.375</v>
      </c>
      <c r="V16" s="145"/>
      <c r="W16" s="145">
        <v>0.112</v>
      </c>
      <c r="X16" s="145">
        <v>0.502</v>
      </c>
      <c r="Y16" s="145"/>
      <c r="Z16" s="145"/>
      <c r="AA16" s="145">
        <v>11.202</v>
      </c>
      <c r="AB16" s="145">
        <v>170.04599999999999</v>
      </c>
      <c r="AC16" s="145">
        <v>17.205555555555556</v>
      </c>
      <c r="AD16" s="145"/>
      <c r="AE16" s="145">
        <v>2E-3</v>
      </c>
      <c r="AF16" s="145">
        <v>6.0000000000000001E-3</v>
      </c>
      <c r="AG16" s="145"/>
      <c r="AH16" s="168"/>
      <c r="AI16" s="168">
        <v>2.4369999999999998</v>
      </c>
      <c r="AJ16" s="146">
        <v>20.001999999999999</v>
      </c>
      <c r="AK16" s="146">
        <v>4.6461538461538465</v>
      </c>
      <c r="AL16" s="146"/>
      <c r="AM16" s="146">
        <v>0.13800000000000001</v>
      </c>
      <c r="AN16" s="146">
        <v>1.8129999999999999</v>
      </c>
      <c r="AO16" s="146">
        <v>0.3888888888888889</v>
      </c>
      <c r="AP16" s="146"/>
      <c r="AQ16" s="146"/>
      <c r="AR16" s="146"/>
      <c r="AS16" s="154"/>
      <c r="AT16" s="154"/>
      <c r="AU16" s="145">
        <v>4.242</v>
      </c>
      <c r="AV16" s="145">
        <v>37.030999999999999</v>
      </c>
      <c r="AW16" s="146">
        <v>11.866666666666667</v>
      </c>
      <c r="AX16" s="147">
        <v>19.785</v>
      </c>
      <c r="AY16" s="147">
        <v>245.54900000000001</v>
      </c>
      <c r="AZ16" s="147">
        <v>37.236550671550674</v>
      </c>
      <c r="BA16">
        <f t="shared" si="0"/>
        <v>14.292926493381385</v>
      </c>
    </row>
    <row r="17" spans="1:53" ht="18" x14ac:dyDescent="0.35">
      <c r="A17" s="137">
        <v>14</v>
      </c>
      <c r="B17" s="151" t="s">
        <v>38</v>
      </c>
      <c r="C17" s="149"/>
      <c r="D17" s="150"/>
      <c r="E17" s="150"/>
      <c r="F17" s="150"/>
      <c r="G17" s="150">
        <v>1.7000000000000001E-2</v>
      </c>
      <c r="H17" s="150"/>
      <c r="I17" s="150">
        <v>0.31428571428571428</v>
      </c>
      <c r="J17" s="150"/>
      <c r="K17" s="150">
        <v>0.38600000000000001</v>
      </c>
      <c r="L17" s="150">
        <v>1.65</v>
      </c>
      <c r="M17" s="150"/>
      <c r="N17" s="150"/>
      <c r="O17" s="150">
        <v>4.9000000000000002E-2</v>
      </c>
      <c r="P17" s="150">
        <v>7.0000000000000001E-3</v>
      </c>
      <c r="Q17" s="150">
        <v>8.42</v>
      </c>
      <c r="R17" s="150"/>
      <c r="S17" s="150">
        <v>0.33800000000000002</v>
      </c>
      <c r="T17" s="150">
        <v>1E-3</v>
      </c>
      <c r="U17" s="150">
        <v>11.96</v>
      </c>
      <c r="V17" s="150"/>
      <c r="W17" s="150">
        <v>0.45</v>
      </c>
      <c r="X17" s="150">
        <v>1.651</v>
      </c>
      <c r="Y17" s="150"/>
      <c r="Z17" s="150"/>
      <c r="AA17" s="150">
        <v>2.8359999999999999</v>
      </c>
      <c r="AB17" s="150">
        <v>23.202999999999999</v>
      </c>
      <c r="AC17" s="150">
        <v>1.25</v>
      </c>
      <c r="AD17" s="150"/>
      <c r="AE17" s="150"/>
      <c r="AF17" s="150"/>
      <c r="AG17" s="150"/>
      <c r="AH17" s="150"/>
      <c r="AI17" s="150">
        <v>0.88800000000000001</v>
      </c>
      <c r="AJ17" s="170">
        <v>0.187</v>
      </c>
      <c r="AK17" s="170">
        <v>22.18</v>
      </c>
      <c r="AL17" s="170"/>
      <c r="AM17" s="170">
        <v>0.23599999999999999</v>
      </c>
      <c r="AN17" s="170">
        <v>0.38500000000000001</v>
      </c>
      <c r="AO17" s="170">
        <v>6.011333333333333</v>
      </c>
      <c r="AP17" s="170"/>
      <c r="AQ17" s="170"/>
      <c r="AR17" s="170"/>
      <c r="AS17" s="150"/>
      <c r="AT17" s="150"/>
      <c r="AU17" s="150">
        <v>0.28499999999999998</v>
      </c>
      <c r="AV17" s="150">
        <v>1.9930000000000001</v>
      </c>
      <c r="AW17" s="150">
        <v>6.85</v>
      </c>
      <c r="AX17" s="147">
        <v>5.4849999999999994</v>
      </c>
      <c r="AY17" s="147">
        <v>29.077000000000002</v>
      </c>
      <c r="AZ17" s="147">
        <v>56.985619047619053</v>
      </c>
      <c r="BA17">
        <f t="shared" si="0"/>
        <v>15.690541303121069</v>
      </c>
    </row>
    <row r="18" spans="1:53" ht="18" x14ac:dyDescent="0.35">
      <c r="A18" s="137">
        <v>15</v>
      </c>
      <c r="B18" s="171" t="s">
        <v>39</v>
      </c>
      <c r="C18" s="139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>
        <v>1.2E-2</v>
      </c>
      <c r="P18" s="142">
        <v>4.9000000000000002E-2</v>
      </c>
      <c r="Q18" s="143"/>
      <c r="R18" s="361"/>
      <c r="S18" s="139">
        <v>6.0000000000000001E-3</v>
      </c>
      <c r="T18" s="144">
        <v>8.1000000000000003E-2</v>
      </c>
      <c r="U18" s="140"/>
      <c r="V18" s="140"/>
      <c r="W18" s="140"/>
      <c r="X18" s="140"/>
      <c r="Y18" s="140"/>
      <c r="Z18" s="140"/>
      <c r="AA18" s="140">
        <v>3.3000000000000002E-2</v>
      </c>
      <c r="AB18" s="140">
        <v>2.5999999999999999E-2</v>
      </c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>
        <v>0.112</v>
      </c>
      <c r="AV18" s="140">
        <v>0.33400000000000002</v>
      </c>
      <c r="AW18" s="152"/>
      <c r="AX18" s="147">
        <v>0.16300000000000001</v>
      </c>
      <c r="AY18" s="147">
        <v>0.49</v>
      </c>
      <c r="AZ18" s="147">
        <v>0</v>
      </c>
      <c r="BA18">
        <f t="shared" si="0"/>
        <v>3.0061349693251533</v>
      </c>
    </row>
    <row r="19" spans="1:53" ht="18" x14ac:dyDescent="0.35">
      <c r="A19" s="137">
        <v>16</v>
      </c>
      <c r="B19" s="172" t="s">
        <v>40</v>
      </c>
      <c r="C19" s="159">
        <v>2.892E-3</v>
      </c>
      <c r="D19" s="160"/>
      <c r="E19" s="160">
        <v>2.4605555555555558E-2</v>
      </c>
      <c r="F19" s="160"/>
      <c r="G19" s="160">
        <v>1.8940000000000001E-3</v>
      </c>
      <c r="H19" s="160"/>
      <c r="I19" s="160">
        <v>0.10798095238095237</v>
      </c>
      <c r="J19" s="160"/>
      <c r="K19" s="160">
        <v>4.1E-5</v>
      </c>
      <c r="L19" s="160"/>
      <c r="M19" s="160">
        <v>1.4444444444444444E-4</v>
      </c>
      <c r="N19" s="160"/>
      <c r="O19" s="160">
        <v>4.1190000000000003E-3</v>
      </c>
      <c r="P19" s="161"/>
      <c r="Q19" s="162">
        <v>0.13240000000000002</v>
      </c>
      <c r="R19" s="361"/>
      <c r="S19" s="159"/>
      <c r="T19" s="163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>
        <v>2.029E-3</v>
      </c>
      <c r="AF19" s="160"/>
      <c r="AG19" s="160">
        <v>5.1046153846153845E-2</v>
      </c>
      <c r="AH19" s="160"/>
      <c r="AI19" s="160">
        <v>3.6000000000000002E-4</v>
      </c>
      <c r="AJ19" s="160"/>
      <c r="AK19" s="160">
        <v>1.9384615384615384E-3</v>
      </c>
      <c r="AL19" s="160"/>
      <c r="AM19" s="160"/>
      <c r="AN19" s="160"/>
      <c r="AO19" s="160"/>
      <c r="AP19" s="160"/>
      <c r="AQ19" s="160"/>
      <c r="AR19" s="160"/>
      <c r="AS19" s="160"/>
      <c r="AT19" s="160"/>
      <c r="AU19" s="160">
        <v>6.4700000000000001E-4</v>
      </c>
      <c r="AV19" s="160"/>
      <c r="AW19" s="164">
        <v>1.9255555555555557E-2</v>
      </c>
      <c r="AX19" s="147">
        <v>1.1982E-2</v>
      </c>
      <c r="AY19" s="147">
        <v>0</v>
      </c>
      <c r="AZ19" s="147">
        <v>0.3373711233211234</v>
      </c>
      <c r="BA19">
        <f t="shared" si="0"/>
        <v>28.156495019289217</v>
      </c>
    </row>
    <row r="20" spans="1:53" ht="18" x14ac:dyDescent="0.35">
      <c r="A20" s="137">
        <v>17</v>
      </c>
      <c r="B20" s="151" t="s">
        <v>41</v>
      </c>
      <c r="C20" s="152">
        <v>6.0999999999999999E-2</v>
      </c>
      <c r="D20" s="150"/>
      <c r="E20" s="152">
        <v>0.75</v>
      </c>
      <c r="F20" s="152"/>
      <c r="G20" s="152">
        <v>1.2E-2</v>
      </c>
      <c r="H20" s="152"/>
      <c r="I20" s="152">
        <v>8.5714285714285715E-2</v>
      </c>
      <c r="J20" s="152"/>
      <c r="K20" s="152"/>
      <c r="L20" s="152"/>
      <c r="M20" s="152"/>
      <c r="N20" s="152"/>
      <c r="O20" s="152">
        <v>2.5000000000000001E-2</v>
      </c>
      <c r="P20" s="152"/>
      <c r="Q20" s="152">
        <v>0.15428571428571428</v>
      </c>
      <c r="R20" s="152"/>
      <c r="S20" s="152">
        <v>0.02</v>
      </c>
      <c r="T20" s="150"/>
      <c r="U20" s="153">
        <v>1.2500000000000001E-2</v>
      </c>
      <c r="V20" s="153"/>
      <c r="W20" s="152"/>
      <c r="X20" s="152"/>
      <c r="Y20" s="152"/>
      <c r="Z20" s="152"/>
      <c r="AA20" s="152"/>
      <c r="AB20" s="152"/>
      <c r="AC20" s="152"/>
      <c r="AD20" s="152"/>
      <c r="AE20" s="152">
        <v>1.4999999999999999E-2</v>
      </c>
      <c r="AF20" s="150"/>
      <c r="AG20" s="152">
        <v>7.6923076923076927E-3</v>
      </c>
      <c r="AH20" s="152"/>
      <c r="AI20" s="152">
        <v>2.4E-2</v>
      </c>
      <c r="AJ20" s="150"/>
      <c r="AK20" s="152">
        <v>0.63076923076923075</v>
      </c>
      <c r="AL20" s="152"/>
      <c r="AM20" s="152"/>
      <c r="AN20" s="152"/>
      <c r="AO20" s="152"/>
      <c r="AP20" s="152"/>
      <c r="AQ20" s="152"/>
      <c r="AR20" s="152"/>
      <c r="AS20" s="152"/>
      <c r="AT20" s="152"/>
      <c r="AU20" s="152">
        <v>7.9000000000000001E-2</v>
      </c>
      <c r="AV20" s="152"/>
      <c r="AW20" s="152">
        <v>0.90555555555555556</v>
      </c>
      <c r="AX20" s="147">
        <v>0.23599999999999999</v>
      </c>
      <c r="AY20" s="147">
        <v>0</v>
      </c>
      <c r="AZ20" s="147">
        <v>2.5465170940170938</v>
      </c>
      <c r="BA20">
        <f t="shared" si="0"/>
        <v>10.790326669563957</v>
      </c>
    </row>
    <row r="21" spans="1:53" ht="18" x14ac:dyDescent="0.35">
      <c r="A21" s="137">
        <v>18</v>
      </c>
      <c r="B21" s="173" t="s">
        <v>42</v>
      </c>
      <c r="C21" s="154">
        <v>2.5000000000000001E-2</v>
      </c>
      <c r="D21" s="145"/>
      <c r="E21" s="145">
        <v>0.73334444444444447</v>
      </c>
      <c r="F21" s="145"/>
      <c r="G21" s="145"/>
      <c r="H21" s="145"/>
      <c r="I21" s="145"/>
      <c r="J21" s="145"/>
      <c r="K21" s="145"/>
      <c r="L21" s="145"/>
      <c r="M21" s="145"/>
      <c r="N21" s="145"/>
      <c r="O21" s="145">
        <v>1.4E-2</v>
      </c>
      <c r="P21" s="168"/>
      <c r="Q21" s="169">
        <v>0.85715428571428576</v>
      </c>
      <c r="R21" s="361"/>
      <c r="S21" s="154"/>
      <c r="T21" s="15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>
        <v>5.0000000000000001E-3</v>
      </c>
      <c r="AF21" s="145"/>
      <c r="AG21" s="145">
        <v>3.8469230769230769E-2</v>
      </c>
      <c r="AH21" s="145"/>
      <c r="AI21" s="145">
        <v>4.0000000000000001E-3</v>
      </c>
      <c r="AJ21" s="145"/>
      <c r="AK21" s="145">
        <v>1.4211</v>
      </c>
      <c r="AL21" s="145"/>
      <c r="AM21" s="145"/>
      <c r="AN21" s="145"/>
      <c r="AO21" s="145"/>
      <c r="AP21" s="145"/>
      <c r="AQ21" s="145"/>
      <c r="AR21" s="145"/>
      <c r="AS21" s="145"/>
      <c r="AT21" s="145"/>
      <c r="AU21" s="145">
        <v>1.8000000000000002E-2</v>
      </c>
      <c r="AV21" s="145">
        <v>4.5460000000000003</v>
      </c>
      <c r="AW21" s="146">
        <v>5.736194444444445</v>
      </c>
      <c r="AX21" s="147">
        <v>6.6000000000000003E-2</v>
      </c>
      <c r="AY21" s="147">
        <v>4.5460000000000003</v>
      </c>
      <c r="AZ21" s="147">
        <v>8.7862624053724048</v>
      </c>
      <c r="BA21">
        <f t="shared" si="0"/>
        <v>202.0039758389758</v>
      </c>
    </row>
    <row r="22" spans="1:53" ht="18" x14ac:dyDescent="0.35">
      <c r="A22" s="137">
        <v>19</v>
      </c>
      <c r="B22" s="151" t="s">
        <v>43</v>
      </c>
      <c r="C22" s="149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>
        <v>1.6E-2</v>
      </c>
      <c r="P22" s="150"/>
      <c r="Q22" s="150">
        <v>1.34857</v>
      </c>
      <c r="R22" s="150"/>
      <c r="S22" s="150">
        <v>1.5960000000000001</v>
      </c>
      <c r="T22" s="150"/>
      <c r="U22" s="150">
        <v>19.7</v>
      </c>
      <c r="V22" s="150"/>
      <c r="W22" s="150"/>
      <c r="X22" s="150"/>
      <c r="Y22" s="150"/>
      <c r="Z22" s="150"/>
      <c r="AA22" s="150">
        <v>2.6160000000000001</v>
      </c>
      <c r="AB22" s="150">
        <v>23.594000000000001</v>
      </c>
      <c r="AC22" s="150"/>
      <c r="AD22" s="150"/>
      <c r="AE22" s="150"/>
      <c r="AF22" s="150"/>
      <c r="AG22" s="150"/>
      <c r="AH22" s="150"/>
      <c r="AI22" s="150">
        <v>1.87</v>
      </c>
      <c r="AJ22" s="150"/>
      <c r="AK22" s="150">
        <v>27.745999999999999</v>
      </c>
      <c r="AL22" s="150"/>
      <c r="AM22" s="150">
        <v>0.51400000000000001</v>
      </c>
      <c r="AN22" s="150">
        <v>1.3140000000000001</v>
      </c>
      <c r="AO22" s="150"/>
      <c r="AP22" s="150"/>
      <c r="AQ22" s="150"/>
      <c r="AR22" s="150"/>
      <c r="AS22" s="150"/>
      <c r="AT22" s="150"/>
      <c r="AU22" s="150"/>
      <c r="AV22" s="150"/>
      <c r="AW22" s="150"/>
      <c r="AX22" s="147">
        <v>6.6120000000000001</v>
      </c>
      <c r="AY22" s="147">
        <v>24.908000000000001</v>
      </c>
      <c r="AZ22" s="147">
        <v>48.794569999999993</v>
      </c>
      <c r="BA22">
        <f t="shared" si="0"/>
        <v>11.146789171203871</v>
      </c>
    </row>
    <row r="23" spans="1:53" ht="18" x14ac:dyDescent="0.35">
      <c r="A23" s="157">
        <v>20</v>
      </c>
      <c r="B23" s="158" t="s">
        <v>45</v>
      </c>
      <c r="C23" s="159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1"/>
      <c r="Q23" s="162"/>
      <c r="R23" s="361"/>
      <c r="S23" s="159"/>
      <c r="T23" s="163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>
        <v>2.0699999999999998</v>
      </c>
      <c r="AV23" s="160">
        <v>10.67</v>
      </c>
      <c r="AW23" s="164"/>
      <c r="AX23" s="147">
        <v>2.0699999999999998</v>
      </c>
      <c r="AY23" s="147">
        <v>10.67</v>
      </c>
      <c r="AZ23" s="147">
        <v>0</v>
      </c>
      <c r="BA23">
        <f t="shared" si="0"/>
        <v>5.154589371980677</v>
      </c>
    </row>
    <row r="24" spans="1:53" ht="18" x14ac:dyDescent="0.35">
      <c r="A24" s="137">
        <v>21</v>
      </c>
      <c r="B24" s="151" t="s">
        <v>46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43"/>
      <c r="R24" s="143"/>
      <c r="S24" s="152"/>
      <c r="T24" s="153"/>
      <c r="U24" s="152"/>
      <c r="V24" s="152"/>
      <c r="W24" s="152"/>
      <c r="X24" s="152"/>
      <c r="Y24" s="152"/>
      <c r="Z24" s="152"/>
      <c r="AA24" s="152">
        <v>0.78200000000000003</v>
      </c>
      <c r="AB24" s="152">
        <v>1.581</v>
      </c>
      <c r="AC24" s="152"/>
      <c r="AD24" s="152"/>
      <c r="AE24" s="152"/>
      <c r="AF24" s="152"/>
      <c r="AG24" s="152"/>
      <c r="AH24" s="152"/>
      <c r="AI24" s="152">
        <v>1.694</v>
      </c>
      <c r="AJ24" s="152">
        <v>3.613</v>
      </c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>
        <v>1.0169999999999999</v>
      </c>
      <c r="AV24" s="152">
        <v>1.8779999999999999</v>
      </c>
      <c r="AW24" s="152"/>
      <c r="AX24" s="147">
        <v>3.4929999999999999</v>
      </c>
      <c r="AY24" s="147">
        <v>7.0720000000000001</v>
      </c>
      <c r="AZ24" s="147">
        <v>0</v>
      </c>
      <c r="BA24">
        <f t="shared" si="0"/>
        <v>2.024620669911251</v>
      </c>
    </row>
    <row r="25" spans="1:53" ht="18" x14ac:dyDescent="0.35">
      <c r="A25" s="166">
        <v>22</v>
      </c>
      <c r="B25" s="167" t="s">
        <v>47</v>
      </c>
      <c r="C25" s="154">
        <v>1.0999999999999999E-2</v>
      </c>
      <c r="D25" s="145"/>
      <c r="E25" s="145">
        <v>2.7777777777777776E-2</v>
      </c>
      <c r="F25" s="145"/>
      <c r="G25" s="145">
        <v>7.0000000000000001E-3</v>
      </c>
      <c r="H25" s="145"/>
      <c r="I25" s="145">
        <v>4.2857142857142858E-2</v>
      </c>
      <c r="J25" s="145"/>
      <c r="K25" s="145"/>
      <c r="L25" s="145"/>
      <c r="M25" s="145"/>
      <c r="N25" s="145"/>
      <c r="O25" s="145">
        <v>3.1E-2</v>
      </c>
      <c r="P25" s="168"/>
      <c r="Q25" s="169">
        <v>6.2040816326530614E-4</v>
      </c>
      <c r="R25" s="361"/>
      <c r="S25" s="154">
        <v>3.4000000000000002E-2</v>
      </c>
      <c r="T25" s="155"/>
      <c r="U25" s="145">
        <v>1.0937499999999999E-2</v>
      </c>
      <c r="V25" s="145"/>
      <c r="W25" s="145"/>
      <c r="X25" s="145"/>
      <c r="Y25" s="145"/>
      <c r="Z25" s="145"/>
      <c r="AA25" s="145">
        <v>1.7000000000000001E-2</v>
      </c>
      <c r="AB25" s="145">
        <v>16.5</v>
      </c>
      <c r="AC25" s="145"/>
      <c r="AD25" s="145"/>
      <c r="AE25" s="145">
        <v>3.7999999999999999E-2</v>
      </c>
      <c r="AF25" s="145"/>
      <c r="AG25" s="145">
        <v>1.051939513477975E-5</v>
      </c>
      <c r="AH25" s="168"/>
      <c r="AI25" s="168">
        <v>2.5000000000000001E-2</v>
      </c>
      <c r="AJ25" s="146"/>
      <c r="AK25" s="146">
        <v>1.4201183431952664E-3</v>
      </c>
      <c r="AL25" s="146"/>
      <c r="AM25" s="146"/>
      <c r="AN25" s="146"/>
      <c r="AO25" s="146"/>
      <c r="AP25" s="146"/>
      <c r="AQ25" s="146"/>
      <c r="AR25" s="146"/>
      <c r="AS25" s="154"/>
      <c r="AT25" s="154"/>
      <c r="AU25" s="145">
        <v>7.9000000000000001E-2</v>
      </c>
      <c r="AV25" s="145"/>
      <c r="AW25" s="146">
        <v>2.4382716049382715E-3</v>
      </c>
      <c r="AX25" s="147">
        <v>0.24199999999999999</v>
      </c>
      <c r="AY25" s="147">
        <v>16.5</v>
      </c>
      <c r="AZ25" s="147">
        <v>8.6061738141454264E-2</v>
      </c>
      <c r="BA25">
        <f t="shared" si="0"/>
        <v>68.537445198931621</v>
      </c>
    </row>
    <row r="26" spans="1:53" ht="18" x14ac:dyDescent="0.35">
      <c r="A26" s="137">
        <v>23</v>
      </c>
      <c r="B26" s="151" t="s">
        <v>48</v>
      </c>
      <c r="C26" s="149">
        <v>2E-3</v>
      </c>
      <c r="D26" s="150">
        <v>5.0000000000000001E-3</v>
      </c>
      <c r="E26" s="150"/>
      <c r="F26" s="150"/>
      <c r="G26" s="150">
        <v>2.7E-2</v>
      </c>
      <c r="H26" s="150">
        <v>1.595</v>
      </c>
      <c r="I26" s="150"/>
      <c r="J26" s="150"/>
      <c r="K26" s="150">
        <v>5.8360000000000003</v>
      </c>
      <c r="L26" s="150">
        <v>104.71599999999999</v>
      </c>
      <c r="M26" s="150"/>
      <c r="N26" s="150"/>
      <c r="O26" s="150">
        <v>1.9E-2</v>
      </c>
      <c r="P26" s="150">
        <v>2.0550000000000002</v>
      </c>
      <c r="Q26" s="150"/>
      <c r="R26" s="150"/>
      <c r="S26" s="150"/>
      <c r="T26" s="150"/>
      <c r="U26" s="150"/>
      <c r="V26" s="150"/>
      <c r="W26" s="150">
        <v>13.611000000000001</v>
      </c>
      <c r="X26" s="150">
        <v>120.59099999999999</v>
      </c>
      <c r="Y26" s="150"/>
      <c r="Z26" s="150"/>
      <c r="AA26" s="150">
        <v>2.7610000000000001</v>
      </c>
      <c r="AB26" s="150">
        <v>71.694999999999993</v>
      </c>
      <c r="AC26" s="150"/>
      <c r="AD26" s="150"/>
      <c r="AE26" s="150"/>
      <c r="AF26" s="150"/>
      <c r="AG26" s="150"/>
      <c r="AH26" s="150"/>
      <c r="AI26" s="150">
        <v>2.0880000000000001</v>
      </c>
      <c r="AJ26" s="170">
        <v>66.971000000000004</v>
      </c>
      <c r="AK26" s="170"/>
      <c r="AL26" s="170"/>
      <c r="AM26" s="170">
        <v>4.9790000000000001</v>
      </c>
      <c r="AN26" s="170">
        <v>65.968000000000004</v>
      </c>
      <c r="AO26" s="170"/>
      <c r="AP26" s="170"/>
      <c r="AQ26" s="170"/>
      <c r="AR26" s="170"/>
      <c r="AS26" s="150"/>
      <c r="AT26" s="150"/>
      <c r="AU26" s="150">
        <v>4.9022000000000006</v>
      </c>
      <c r="AV26" s="150">
        <v>48.923999999999999</v>
      </c>
      <c r="AW26" s="150"/>
      <c r="AX26" s="147">
        <v>34.225200000000001</v>
      </c>
      <c r="AY26" s="147">
        <v>482.52</v>
      </c>
      <c r="AZ26" s="147">
        <v>0</v>
      </c>
      <c r="BA26">
        <f t="shared" si="0"/>
        <v>14.098383647137195</v>
      </c>
    </row>
    <row r="27" spans="1:53" ht="18" x14ac:dyDescent="0.35">
      <c r="A27" s="137">
        <v>24</v>
      </c>
      <c r="B27" s="174" t="s">
        <v>65</v>
      </c>
      <c r="C27" s="139"/>
      <c r="D27" s="140"/>
      <c r="E27" s="140"/>
      <c r="F27" s="140"/>
      <c r="G27" s="140">
        <v>1.4590000000000001E-2</v>
      </c>
      <c r="H27" s="140"/>
      <c r="I27" s="140">
        <v>1.3760476190476192</v>
      </c>
      <c r="J27" s="140"/>
      <c r="K27" s="140">
        <v>0.93032999999999999</v>
      </c>
      <c r="L27" s="140">
        <v>2.2164000000000001</v>
      </c>
      <c r="M27" s="140">
        <v>1.0888888888888888</v>
      </c>
      <c r="N27" s="140"/>
      <c r="O27" s="140">
        <v>0.11056000000000001</v>
      </c>
      <c r="P27" s="142"/>
      <c r="Q27" s="143">
        <v>1.7318857142857143</v>
      </c>
      <c r="R27" s="361"/>
      <c r="S27" s="139"/>
      <c r="T27" s="144"/>
      <c r="U27" s="140"/>
      <c r="V27" s="140"/>
      <c r="W27" s="140">
        <v>0.20880000000000001</v>
      </c>
      <c r="X27" s="140">
        <v>0.99175000000000002</v>
      </c>
      <c r="Y27" s="140"/>
      <c r="Z27" s="140"/>
      <c r="AA27" s="140">
        <v>1.415</v>
      </c>
      <c r="AB27" s="140">
        <v>10.1808</v>
      </c>
      <c r="AC27" s="140"/>
      <c r="AD27" s="140"/>
      <c r="AE27" s="140">
        <v>3.4499999999999999E-3</v>
      </c>
      <c r="AF27" s="140"/>
      <c r="AG27" s="140">
        <v>7.6923076923076927E-2</v>
      </c>
      <c r="AH27" s="140"/>
      <c r="AI27" s="140">
        <v>0.5492499999999999</v>
      </c>
      <c r="AJ27" s="160">
        <v>2.6929999999999996</v>
      </c>
      <c r="AK27" s="160">
        <v>0.92307692307692313</v>
      </c>
      <c r="AL27" s="160"/>
      <c r="AM27" s="160">
        <v>2.5999999999999999E-2</v>
      </c>
      <c r="AN27" s="160">
        <v>0.32600000000000001</v>
      </c>
      <c r="AO27" s="160"/>
      <c r="AP27" s="160"/>
      <c r="AQ27" s="160"/>
      <c r="AR27" s="160"/>
      <c r="AS27" s="140"/>
      <c r="AT27" s="140"/>
      <c r="AU27" s="140">
        <v>0.45119999999999999</v>
      </c>
      <c r="AV27" s="140">
        <v>1.5134000000000001</v>
      </c>
      <c r="AW27" s="152"/>
      <c r="AX27" s="147">
        <v>3.7091799999999999</v>
      </c>
      <c r="AY27" s="147">
        <v>17.92135</v>
      </c>
      <c r="AZ27" s="147">
        <v>5.196822222222222</v>
      </c>
      <c r="BA27">
        <f t="shared" si="0"/>
        <v>6.2326908433190678</v>
      </c>
    </row>
    <row r="28" spans="1:53" ht="18" x14ac:dyDescent="0.35">
      <c r="A28" s="137">
        <v>25</v>
      </c>
      <c r="B28" s="151" t="s">
        <v>49</v>
      </c>
      <c r="C28" s="139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2"/>
      <c r="Q28" s="143"/>
      <c r="R28" s="361"/>
      <c r="S28" s="139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2"/>
      <c r="AI28" s="142"/>
      <c r="AJ28" s="152"/>
      <c r="AK28" s="152"/>
      <c r="AL28" s="152"/>
      <c r="AM28" s="152"/>
      <c r="AN28" s="152"/>
      <c r="AO28" s="152"/>
      <c r="AP28" s="152"/>
      <c r="AQ28" s="152"/>
      <c r="AR28" s="152"/>
      <c r="AS28" s="139"/>
      <c r="AT28" s="139"/>
      <c r="AU28" s="140"/>
      <c r="AV28" s="140"/>
      <c r="AW28" s="152"/>
      <c r="AX28" s="147">
        <v>0</v>
      </c>
      <c r="AY28" s="147">
        <v>0</v>
      </c>
      <c r="AZ28" s="147">
        <v>0</v>
      </c>
      <c r="BA28" t="e">
        <f t="shared" si="0"/>
        <v>#DIV/0!</v>
      </c>
    </row>
    <row r="29" spans="1:53" ht="18" x14ac:dyDescent="0.35">
      <c r="A29" s="137">
        <v>26</v>
      </c>
      <c r="B29" s="151" t="s">
        <v>50</v>
      </c>
      <c r="C29" s="139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2"/>
      <c r="Q29" s="143"/>
      <c r="R29" s="361"/>
      <c r="S29" s="139">
        <v>3.476</v>
      </c>
      <c r="T29" s="144"/>
      <c r="U29" s="140">
        <v>43.45</v>
      </c>
      <c r="V29" s="140"/>
      <c r="W29" s="140"/>
      <c r="X29" s="140"/>
      <c r="Y29" s="140"/>
      <c r="Z29" s="140"/>
      <c r="AA29" s="140">
        <v>4.0339999999999998</v>
      </c>
      <c r="AB29" s="140">
        <v>8.0679999999999996</v>
      </c>
      <c r="AC29" s="140"/>
      <c r="AD29" s="140"/>
      <c r="AE29" s="140"/>
      <c r="AF29" s="140"/>
      <c r="AG29" s="140"/>
      <c r="AH29" s="140"/>
      <c r="AI29" s="140">
        <v>13.712999999999999</v>
      </c>
      <c r="AJ29" s="145">
        <v>38.347000000000001</v>
      </c>
      <c r="AK29" s="168">
        <v>21.753846153846155</v>
      </c>
      <c r="AL29" s="363"/>
      <c r="AM29" s="170"/>
      <c r="AN29" s="170"/>
      <c r="AO29" s="154"/>
      <c r="AP29" s="154"/>
      <c r="AQ29" s="145"/>
      <c r="AR29" s="145"/>
      <c r="AS29" s="140"/>
      <c r="AT29" s="140"/>
      <c r="AU29" s="140"/>
      <c r="AV29" s="140"/>
      <c r="AW29" s="152"/>
      <c r="AX29" s="147">
        <v>21.222999999999999</v>
      </c>
      <c r="AY29" s="147">
        <v>46.414999999999999</v>
      </c>
      <c r="AZ29" s="147">
        <v>65.203846153846158</v>
      </c>
      <c r="BA29">
        <f t="shared" si="0"/>
        <v>5.2593340316565129</v>
      </c>
    </row>
    <row r="30" spans="1:53" ht="18" x14ac:dyDescent="0.35">
      <c r="A30" s="137">
        <v>27</v>
      </c>
      <c r="B30" s="151" t="s">
        <v>51</v>
      </c>
      <c r="C30" s="139"/>
      <c r="D30" s="140"/>
      <c r="E30" s="140"/>
      <c r="F30" s="140"/>
      <c r="G30" s="140">
        <v>2.026E-2</v>
      </c>
      <c r="H30" s="140"/>
      <c r="I30" s="140">
        <v>0.55600000000000005</v>
      </c>
      <c r="J30" s="140"/>
      <c r="K30" s="140"/>
      <c r="L30" s="140"/>
      <c r="M30" s="140"/>
      <c r="N30" s="140"/>
      <c r="O30" s="140">
        <v>0.1043</v>
      </c>
      <c r="P30" s="142"/>
      <c r="Q30" s="143">
        <v>5.5768571428571434</v>
      </c>
      <c r="R30" s="361"/>
      <c r="S30" s="139">
        <v>0.27512999999999999</v>
      </c>
      <c r="T30" s="144"/>
      <c r="U30" s="140">
        <v>5.4861249999999995</v>
      </c>
      <c r="V30" s="140"/>
      <c r="W30" s="140"/>
      <c r="X30" s="140"/>
      <c r="Y30" s="140"/>
      <c r="Z30" s="140"/>
      <c r="AA30" s="140">
        <v>0.82884000000000002</v>
      </c>
      <c r="AB30" s="140">
        <v>2.16771</v>
      </c>
      <c r="AC30" s="140"/>
      <c r="AD30" s="140"/>
      <c r="AE30" s="140"/>
      <c r="AF30" s="140"/>
      <c r="AG30" s="140"/>
      <c r="AH30" s="140"/>
      <c r="AI30" s="140">
        <v>0.15262000000000001</v>
      </c>
      <c r="AJ30" s="140">
        <v>0.21784999999999999</v>
      </c>
      <c r="AK30" s="140"/>
      <c r="AL30" s="145"/>
      <c r="AM30" s="145">
        <v>1.7069999999999998E-2</v>
      </c>
      <c r="AN30" s="145">
        <v>1.9359999999999999E-2</v>
      </c>
      <c r="AO30" s="140"/>
      <c r="AP30" s="140"/>
      <c r="AQ30" s="140"/>
      <c r="AR30" s="140"/>
      <c r="AS30" s="140"/>
      <c r="AT30" s="140"/>
      <c r="AU30" s="140">
        <v>0.13507</v>
      </c>
      <c r="AV30" s="140">
        <v>0.13413</v>
      </c>
      <c r="AW30" s="152">
        <v>9.9722222222222212E-2</v>
      </c>
      <c r="AX30" s="147">
        <v>1.53329</v>
      </c>
      <c r="AY30" s="147">
        <v>2.5390499999999996</v>
      </c>
      <c r="AZ30" s="147">
        <v>11.718704365079365</v>
      </c>
      <c r="BA30">
        <f t="shared" si="0"/>
        <v>9.2987982476109305</v>
      </c>
    </row>
    <row r="31" spans="1:53" ht="18" x14ac:dyDescent="0.35">
      <c r="A31" s="137">
        <v>28</v>
      </c>
      <c r="B31" s="151" t="s">
        <v>52</v>
      </c>
      <c r="C31" s="139">
        <v>2E-3</v>
      </c>
      <c r="D31" s="140"/>
      <c r="E31" s="140">
        <v>6.6666666666666666E-2</v>
      </c>
      <c r="F31" s="140"/>
      <c r="G31" s="140"/>
      <c r="H31" s="140"/>
      <c r="I31" s="140"/>
      <c r="J31" s="140"/>
      <c r="K31" s="140">
        <v>0.57999999999999996</v>
      </c>
      <c r="L31" s="140"/>
      <c r="M31" s="140">
        <v>8.5416666666666661</v>
      </c>
      <c r="N31" s="140"/>
      <c r="O31" s="140">
        <v>8.0000000000000002E-3</v>
      </c>
      <c r="P31" s="142"/>
      <c r="Q31" s="143">
        <v>0.86228571428571432</v>
      </c>
      <c r="R31" s="361"/>
      <c r="S31" s="139">
        <v>2.8650000000000002</v>
      </c>
      <c r="T31" s="144"/>
      <c r="U31" s="140">
        <v>53.712499999999999</v>
      </c>
      <c r="V31" s="140"/>
      <c r="W31" s="140">
        <v>0.5</v>
      </c>
      <c r="X31" s="140">
        <v>0.65</v>
      </c>
      <c r="Y31" s="140"/>
      <c r="Z31" s="140"/>
      <c r="AA31" s="140">
        <v>7.18</v>
      </c>
      <c r="AB31" s="140">
        <v>62.95</v>
      </c>
      <c r="AC31" s="140"/>
      <c r="AD31" s="140"/>
      <c r="AE31" s="140">
        <v>1.2999999999999999E-3</v>
      </c>
      <c r="AF31" s="140"/>
      <c r="AG31" s="140">
        <v>3.9230769230769229E-2</v>
      </c>
      <c r="AH31" s="140"/>
      <c r="AI31" s="140">
        <v>1.78</v>
      </c>
      <c r="AJ31" s="140"/>
      <c r="AK31" s="140">
        <v>63.692307692307693</v>
      </c>
      <c r="AL31" s="140"/>
      <c r="AM31" s="140">
        <v>6</v>
      </c>
      <c r="AN31" s="140"/>
      <c r="AO31" s="140">
        <v>77.555555555555557</v>
      </c>
      <c r="AP31" s="140"/>
      <c r="AQ31" s="140"/>
      <c r="AR31" s="140"/>
      <c r="AS31" s="140"/>
      <c r="AT31" s="140"/>
      <c r="AU31" s="140">
        <v>7.86</v>
      </c>
      <c r="AV31" s="140">
        <v>11.28</v>
      </c>
      <c r="AW31" s="152"/>
      <c r="AX31" s="147">
        <v>26.776299999999999</v>
      </c>
      <c r="AY31" s="147">
        <v>74.88</v>
      </c>
      <c r="AZ31" s="147">
        <v>204.47021306471305</v>
      </c>
      <c r="BA31">
        <f t="shared" si="0"/>
        <v>10.432741381920319</v>
      </c>
    </row>
    <row r="32" spans="1:53" ht="18" x14ac:dyDescent="0.35">
      <c r="A32" s="137">
        <v>29</v>
      </c>
      <c r="B32" s="151" t="s">
        <v>12</v>
      </c>
      <c r="C32" s="139">
        <v>1E-3</v>
      </c>
      <c r="D32" s="139">
        <v>0</v>
      </c>
      <c r="E32" s="139">
        <v>1.1111111111111112E-2</v>
      </c>
      <c r="F32" s="139"/>
      <c r="G32" s="139">
        <v>0</v>
      </c>
      <c r="H32" s="139">
        <v>0</v>
      </c>
      <c r="I32" s="139">
        <v>0</v>
      </c>
      <c r="J32" s="139"/>
      <c r="K32" s="139">
        <v>0.47299999999999998</v>
      </c>
      <c r="L32" s="139">
        <v>0</v>
      </c>
      <c r="M32" s="139">
        <v>1.1111111111111112E-2</v>
      </c>
      <c r="N32" s="139"/>
      <c r="O32" s="139">
        <v>5.0000000000000001E-3</v>
      </c>
      <c r="P32" s="139">
        <v>0</v>
      </c>
      <c r="Q32" s="139">
        <v>0.26285714285714284</v>
      </c>
      <c r="R32" s="139"/>
      <c r="S32" s="139">
        <v>0.44600000000000001</v>
      </c>
      <c r="T32" s="139">
        <v>0</v>
      </c>
      <c r="U32" s="139">
        <v>0</v>
      </c>
      <c r="V32" s="139"/>
      <c r="W32" s="139">
        <v>5.7900000000000007E-2</v>
      </c>
      <c r="X32" s="139">
        <v>0.51600000000000001</v>
      </c>
      <c r="Y32" s="139">
        <v>0</v>
      </c>
      <c r="Z32" s="139"/>
      <c r="AA32" s="139">
        <v>2.9235000000000002</v>
      </c>
      <c r="AB32" s="139">
        <v>0.27100000000000002</v>
      </c>
      <c r="AC32" s="139">
        <v>0</v>
      </c>
      <c r="AD32" s="139"/>
      <c r="AE32" s="139">
        <v>3.0000000000000001E-3</v>
      </c>
      <c r="AF32" s="139">
        <v>0</v>
      </c>
      <c r="AG32" s="139">
        <v>0.18461538461538463</v>
      </c>
      <c r="AH32" s="139"/>
      <c r="AI32" s="139">
        <v>0.497</v>
      </c>
      <c r="AJ32" s="139">
        <v>2.0999999999999998E-2</v>
      </c>
      <c r="AK32" s="139">
        <v>4.6153846153846156E-2</v>
      </c>
      <c r="AL32" s="139"/>
      <c r="AM32" s="139">
        <v>0.34300000000000003</v>
      </c>
      <c r="AN32" s="139">
        <v>2.3E-2</v>
      </c>
      <c r="AO32" s="139">
        <v>0</v>
      </c>
      <c r="AP32" s="139"/>
      <c r="AQ32" s="139">
        <v>0</v>
      </c>
      <c r="AR32" s="139">
        <v>0</v>
      </c>
      <c r="AS32" s="139">
        <v>0</v>
      </c>
      <c r="AT32" s="139"/>
      <c r="AU32" s="139">
        <v>2.58</v>
      </c>
      <c r="AV32" s="139">
        <v>0.3367</v>
      </c>
      <c r="AW32" s="139">
        <v>0</v>
      </c>
      <c r="AX32" s="147">
        <v>7.3294000000000006</v>
      </c>
      <c r="AY32" s="147">
        <v>1.1677</v>
      </c>
      <c r="AZ32" s="147">
        <v>0.51584859584859588</v>
      </c>
      <c r="BA32">
        <f t="shared" si="0"/>
        <v>0.22969801018481673</v>
      </c>
    </row>
    <row r="33" spans="1:53" ht="17.399999999999999" x14ac:dyDescent="0.3">
      <c r="A33" s="175"/>
      <c r="B33" s="359" t="s">
        <v>72</v>
      </c>
      <c r="C33" s="360">
        <v>0.43749199999999999</v>
      </c>
      <c r="D33" s="360">
        <v>0.86799999999999999</v>
      </c>
      <c r="E33" s="360">
        <v>3.5690611111111115</v>
      </c>
      <c r="F33" s="360"/>
      <c r="G33" s="360">
        <v>3.1613440000000002</v>
      </c>
      <c r="H33" s="360">
        <v>2.8579999999999997</v>
      </c>
      <c r="I33" s="360">
        <v>7.9551647619047614</v>
      </c>
      <c r="J33" s="360"/>
      <c r="K33" s="360">
        <v>25.757170999999996</v>
      </c>
      <c r="L33" s="360">
        <v>464.41100000000006</v>
      </c>
      <c r="M33" s="360">
        <v>14.850451666666666</v>
      </c>
      <c r="N33" s="360"/>
      <c r="O33" s="360">
        <v>1.3210089999999999</v>
      </c>
      <c r="P33" s="360">
        <v>7.51</v>
      </c>
      <c r="Q33" s="360">
        <v>31.106916122448979</v>
      </c>
      <c r="R33" s="360"/>
      <c r="S33" s="360">
        <v>12.847470000000001</v>
      </c>
      <c r="T33" s="360">
        <v>7.285000000000001</v>
      </c>
      <c r="U33" s="360">
        <v>158.41499858333333</v>
      </c>
      <c r="V33" s="360"/>
      <c r="W33" s="360">
        <v>25.534700000000001</v>
      </c>
      <c r="X33" s="360">
        <v>192.63274999999996</v>
      </c>
      <c r="Y33" s="360">
        <v>2.4788999999999999</v>
      </c>
      <c r="Z33" s="360"/>
      <c r="AA33" s="360">
        <v>76.077649999999991</v>
      </c>
      <c r="AB33" s="360">
        <v>767.95213999999987</v>
      </c>
      <c r="AC33" s="360">
        <v>43.138888888888886</v>
      </c>
      <c r="AD33" s="360"/>
      <c r="AE33" s="360">
        <v>0.80277899999999991</v>
      </c>
      <c r="AF33" s="360">
        <v>4.8330000000000002</v>
      </c>
      <c r="AG33" s="360">
        <v>10.013372057856671</v>
      </c>
      <c r="AH33" s="360"/>
      <c r="AI33" s="360">
        <v>35.570419999999999</v>
      </c>
      <c r="AJ33" s="360">
        <v>138.92699999999999</v>
      </c>
      <c r="AK33" s="360">
        <v>229.62026627218938</v>
      </c>
      <c r="AL33" s="360"/>
      <c r="AM33" s="360">
        <v>19.21697</v>
      </c>
      <c r="AN33" s="360">
        <v>108.17646000000001</v>
      </c>
      <c r="AO33" s="360">
        <v>91.425416666666663</v>
      </c>
      <c r="AP33" s="360"/>
      <c r="AQ33" s="360">
        <v>2.0179999999999997E-2</v>
      </c>
      <c r="AR33" s="360">
        <v>0</v>
      </c>
      <c r="AS33" s="360">
        <v>0.10475944444444445</v>
      </c>
      <c r="AT33" s="360"/>
      <c r="AU33" s="360">
        <v>123.25601699999997</v>
      </c>
      <c r="AV33" s="360">
        <v>271.12063899999998</v>
      </c>
      <c r="AW33" s="360">
        <v>76.661046149938286</v>
      </c>
      <c r="AX33" s="360">
        <v>324.00320200000004</v>
      </c>
      <c r="AY33" s="360">
        <v>1966.573989</v>
      </c>
      <c r="AZ33" s="360">
        <v>669.33924172544914</v>
      </c>
      <c r="BA33">
        <f t="shared" si="0"/>
        <v>8.1354542623484587</v>
      </c>
    </row>
    <row r="34" spans="1:53" x14ac:dyDescent="0.3">
      <c r="E34" s="354"/>
      <c r="F34" s="377">
        <f>(E33+D33)/C33</f>
        <v>10.142039422689127</v>
      </c>
      <c r="G34" s="354"/>
      <c r="H34" s="354"/>
      <c r="I34" s="354"/>
      <c r="J34" s="377">
        <f t="shared" ref="J34:AT34" si="1">(I33+H33)/G33</f>
        <v>3.4204328165187849</v>
      </c>
      <c r="K34" s="354"/>
      <c r="L34" s="354"/>
      <c r="M34" s="354"/>
      <c r="N34" s="354">
        <f t="shared" si="1"/>
        <v>18.606913455932983</v>
      </c>
      <c r="O34" s="354"/>
      <c r="P34" s="354"/>
      <c r="Q34" s="354"/>
      <c r="R34" s="377">
        <f t="shared" si="1"/>
        <v>29.232894039668906</v>
      </c>
      <c r="S34" s="354"/>
      <c r="T34" s="354"/>
      <c r="U34" s="354"/>
      <c r="V34" s="377">
        <f t="shared" si="1"/>
        <v>12.897480872368902</v>
      </c>
      <c r="W34" s="354"/>
      <c r="X34" s="354"/>
      <c r="Y34" s="354"/>
      <c r="Z34" s="354">
        <f t="shared" si="1"/>
        <v>7.641039448280182</v>
      </c>
      <c r="AA34" s="354"/>
      <c r="AB34" s="354"/>
      <c r="AC34" s="354"/>
      <c r="AD34" s="354">
        <f t="shared" si="1"/>
        <v>10.66135755887424</v>
      </c>
      <c r="AE34" s="354"/>
      <c r="AF34" s="354"/>
      <c r="AG34" s="354"/>
      <c r="AH34" s="354">
        <f t="shared" si="1"/>
        <v>18.493722503773359</v>
      </c>
      <c r="AI34" s="354"/>
      <c r="AJ34" s="354"/>
      <c r="AK34" s="354"/>
      <c r="AL34" s="354">
        <f t="shared" si="1"/>
        <v>10.361060293136529</v>
      </c>
      <c r="AM34" s="354"/>
      <c r="AN34" s="354"/>
      <c r="AO34" s="354"/>
      <c r="AP34" s="354">
        <f t="shared" si="1"/>
        <v>10.386750703501471</v>
      </c>
      <c r="AQ34" s="354"/>
      <c r="AR34" s="354"/>
      <c r="AS34" s="354"/>
      <c r="AT34" s="354">
        <f t="shared" si="1"/>
        <v>5.1912509635502708</v>
      </c>
      <c r="AU34" s="354"/>
      <c r="AV34" s="354"/>
      <c r="AW34" s="354"/>
      <c r="AX34" s="354"/>
      <c r="AY34" s="354"/>
      <c r="AZ34" s="354"/>
      <c r="BA34" s="354"/>
    </row>
  </sheetData>
  <mergeCells count="26">
    <mergeCell ref="AN2:AO2"/>
    <mergeCell ref="AR2:AS2"/>
    <mergeCell ref="AV2:AW2"/>
    <mergeCell ref="AY2:AZ2"/>
    <mergeCell ref="AX1:AZ1"/>
    <mergeCell ref="AM1:AO1"/>
    <mergeCell ref="AQ1:AS1"/>
    <mergeCell ref="AU1:AW1"/>
    <mergeCell ref="D2:E2"/>
    <mergeCell ref="H2:I2"/>
    <mergeCell ref="L2:M2"/>
    <mergeCell ref="P2:Q2"/>
    <mergeCell ref="T2:U2"/>
    <mergeCell ref="X2:Y2"/>
    <mergeCell ref="AB2:AC2"/>
    <mergeCell ref="AF2:AG2"/>
    <mergeCell ref="AJ2:AK2"/>
    <mergeCell ref="AA1:AC1"/>
    <mergeCell ref="AE1:AG1"/>
    <mergeCell ref="AI1:AK1"/>
    <mergeCell ref="W1:Y1"/>
    <mergeCell ref="C1:E1"/>
    <mergeCell ref="G1:I1"/>
    <mergeCell ref="K1:M1"/>
    <mergeCell ref="O1:Q1"/>
    <mergeCell ref="S1:U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688E-28C9-42C5-99F9-EE052934E704}">
  <dimension ref="A1:BF34"/>
  <sheetViews>
    <sheetView topLeftCell="L10" workbookViewId="0">
      <selection activeCell="V34" sqref="V34"/>
    </sheetView>
  </sheetViews>
  <sheetFormatPr defaultRowHeight="14.4" x14ac:dyDescent="0.3"/>
  <cols>
    <col min="2" max="2" width="31.77734375" bestFit="1" customWidth="1"/>
    <col min="51" max="51" width="9.6640625" bestFit="1" customWidth="1"/>
  </cols>
  <sheetData>
    <row r="1" spans="1:53" ht="17.399999999999999" x14ac:dyDescent="0.3">
      <c r="A1" s="176" t="s">
        <v>75</v>
      </c>
      <c r="B1" s="177" t="s">
        <v>76</v>
      </c>
      <c r="C1" s="422" t="s">
        <v>1</v>
      </c>
      <c r="D1" s="422"/>
      <c r="E1" s="423"/>
      <c r="F1" s="319"/>
      <c r="G1" s="424" t="s">
        <v>2</v>
      </c>
      <c r="H1" s="422"/>
      <c r="I1" s="423"/>
      <c r="J1" s="319"/>
      <c r="K1" s="424" t="s">
        <v>3</v>
      </c>
      <c r="L1" s="422"/>
      <c r="M1" s="423"/>
      <c r="N1" s="319"/>
      <c r="O1" s="424" t="s">
        <v>4</v>
      </c>
      <c r="P1" s="422"/>
      <c r="Q1" s="423"/>
      <c r="R1" s="319"/>
      <c r="S1" s="424" t="s">
        <v>63</v>
      </c>
      <c r="T1" s="422"/>
      <c r="U1" s="423"/>
      <c r="V1" s="319"/>
      <c r="W1" s="424" t="s">
        <v>6</v>
      </c>
      <c r="X1" s="422"/>
      <c r="Y1" s="423"/>
      <c r="Z1" s="319"/>
      <c r="AA1" s="424" t="s">
        <v>77</v>
      </c>
      <c r="AB1" s="422"/>
      <c r="AC1" s="423"/>
      <c r="AD1" s="319"/>
      <c r="AE1" s="424" t="s">
        <v>78</v>
      </c>
      <c r="AF1" s="422"/>
      <c r="AG1" s="423"/>
      <c r="AH1" s="319"/>
      <c r="AI1" s="424" t="s">
        <v>9</v>
      </c>
      <c r="AJ1" s="422"/>
      <c r="AK1" s="423"/>
      <c r="AL1" s="319"/>
      <c r="AM1" s="424" t="s">
        <v>10</v>
      </c>
      <c r="AN1" s="422"/>
      <c r="AO1" s="423"/>
      <c r="AP1" s="319"/>
      <c r="AQ1" s="424" t="s">
        <v>11</v>
      </c>
      <c r="AR1" s="422"/>
      <c r="AS1" s="426"/>
      <c r="AT1" s="368"/>
      <c r="AU1" s="427" t="s">
        <v>79</v>
      </c>
      <c r="AV1" s="428"/>
      <c r="AW1" s="429"/>
      <c r="AX1" s="425" t="s">
        <v>53</v>
      </c>
      <c r="AY1" s="425"/>
      <c r="AZ1" s="425"/>
    </row>
    <row r="2" spans="1:53" ht="17.399999999999999" x14ac:dyDescent="0.3">
      <c r="A2" s="179"/>
      <c r="B2" s="180"/>
      <c r="C2" s="178" t="s">
        <v>14</v>
      </c>
      <c r="D2" s="424" t="s">
        <v>15</v>
      </c>
      <c r="E2" s="423"/>
      <c r="F2" s="178"/>
      <c r="G2" s="181" t="s">
        <v>14</v>
      </c>
      <c r="H2" s="424" t="s">
        <v>15</v>
      </c>
      <c r="I2" s="423"/>
      <c r="J2" s="178"/>
      <c r="K2" s="181" t="s">
        <v>14</v>
      </c>
      <c r="L2" s="424" t="s">
        <v>15</v>
      </c>
      <c r="M2" s="423"/>
      <c r="N2" s="178"/>
      <c r="O2" s="181" t="s">
        <v>14</v>
      </c>
      <c r="P2" s="424" t="s">
        <v>15</v>
      </c>
      <c r="Q2" s="423"/>
      <c r="R2" s="178"/>
      <c r="S2" s="181" t="s">
        <v>14</v>
      </c>
      <c r="T2" s="424" t="s">
        <v>15</v>
      </c>
      <c r="U2" s="423"/>
      <c r="V2" s="178"/>
      <c r="W2" s="181" t="s">
        <v>14</v>
      </c>
      <c r="X2" s="424" t="s">
        <v>15</v>
      </c>
      <c r="Y2" s="423"/>
      <c r="Z2" s="178"/>
      <c r="AA2" s="181" t="s">
        <v>14</v>
      </c>
      <c r="AB2" s="424" t="s">
        <v>15</v>
      </c>
      <c r="AC2" s="423"/>
      <c r="AD2" s="178"/>
      <c r="AE2" s="181" t="s">
        <v>14</v>
      </c>
      <c r="AF2" s="424" t="s">
        <v>15</v>
      </c>
      <c r="AG2" s="423"/>
      <c r="AH2" s="178"/>
      <c r="AI2" s="181" t="s">
        <v>14</v>
      </c>
      <c r="AJ2" s="424" t="s">
        <v>15</v>
      </c>
      <c r="AK2" s="423"/>
      <c r="AL2" s="178"/>
      <c r="AM2" s="181" t="s">
        <v>14</v>
      </c>
      <c r="AN2" s="424" t="s">
        <v>15</v>
      </c>
      <c r="AO2" s="423"/>
      <c r="AP2" s="178"/>
      <c r="AQ2" s="181" t="s">
        <v>14</v>
      </c>
      <c r="AR2" s="424" t="s">
        <v>15</v>
      </c>
      <c r="AS2" s="423"/>
      <c r="AT2" s="178"/>
      <c r="AU2" s="181" t="s">
        <v>14</v>
      </c>
      <c r="AV2" s="424" t="s">
        <v>15</v>
      </c>
      <c r="AW2" s="423"/>
      <c r="AX2" s="181" t="s">
        <v>14</v>
      </c>
      <c r="AY2" s="424" t="s">
        <v>15</v>
      </c>
      <c r="AZ2" s="423"/>
    </row>
    <row r="3" spans="1:53" ht="17.399999999999999" x14ac:dyDescent="0.3">
      <c r="A3" s="182"/>
      <c r="B3" s="180"/>
      <c r="C3" s="178"/>
      <c r="D3" s="181" t="s">
        <v>70</v>
      </c>
      <c r="E3" s="181" t="s">
        <v>71</v>
      </c>
      <c r="F3" s="181"/>
      <c r="G3" s="181"/>
      <c r="H3" s="181" t="s">
        <v>70</v>
      </c>
      <c r="I3" s="181" t="s">
        <v>71</v>
      </c>
      <c r="J3" s="181"/>
      <c r="K3" s="181"/>
      <c r="L3" s="181" t="s">
        <v>70</v>
      </c>
      <c r="M3" s="181" t="s">
        <v>71</v>
      </c>
      <c r="N3" s="181"/>
      <c r="O3" s="181"/>
      <c r="P3" s="181" t="s">
        <v>70</v>
      </c>
      <c r="Q3" s="181" t="s">
        <v>71</v>
      </c>
      <c r="R3" s="178"/>
      <c r="S3" s="178"/>
      <c r="T3" s="181" t="s">
        <v>70</v>
      </c>
      <c r="U3" s="181" t="s">
        <v>71</v>
      </c>
      <c r="V3" s="181"/>
      <c r="W3" s="181"/>
      <c r="X3" s="181" t="s">
        <v>70</v>
      </c>
      <c r="Y3" s="181" t="s">
        <v>71</v>
      </c>
      <c r="Z3" s="181"/>
      <c r="AA3" s="181"/>
      <c r="AB3" s="181" t="s">
        <v>70</v>
      </c>
      <c r="AC3" s="181" t="s">
        <v>71</v>
      </c>
      <c r="AD3" s="181"/>
      <c r="AE3" s="181"/>
      <c r="AF3" s="181" t="s">
        <v>70</v>
      </c>
      <c r="AG3" s="181" t="s">
        <v>71</v>
      </c>
      <c r="AH3" s="181"/>
      <c r="AI3" s="181"/>
      <c r="AJ3" s="181" t="s">
        <v>70</v>
      </c>
      <c r="AK3" s="181" t="s">
        <v>71</v>
      </c>
      <c r="AL3" s="181"/>
      <c r="AM3" s="181"/>
      <c r="AN3" s="181" t="s">
        <v>70</v>
      </c>
      <c r="AO3" s="181" t="s">
        <v>71</v>
      </c>
      <c r="AP3" s="181"/>
      <c r="AQ3" s="181"/>
      <c r="AR3" s="181" t="s">
        <v>70</v>
      </c>
      <c r="AS3" s="181" t="s">
        <v>71</v>
      </c>
      <c r="AT3" s="368"/>
      <c r="AU3" s="177"/>
      <c r="AV3" s="181" t="s">
        <v>70</v>
      </c>
      <c r="AW3" s="181" t="s">
        <v>71</v>
      </c>
      <c r="AX3" s="177"/>
      <c r="AY3" s="177" t="s">
        <v>70</v>
      </c>
      <c r="AZ3" s="177" t="s">
        <v>71</v>
      </c>
    </row>
    <row r="4" spans="1:53" ht="18" x14ac:dyDescent="0.35">
      <c r="A4" s="183">
        <v>1</v>
      </c>
      <c r="B4" s="184" t="s">
        <v>20</v>
      </c>
      <c r="C4" s="185"/>
      <c r="D4" s="186"/>
      <c r="E4" s="186"/>
      <c r="F4" s="186"/>
      <c r="G4" s="186"/>
      <c r="H4" s="186"/>
      <c r="I4" s="186"/>
      <c r="J4" s="186"/>
      <c r="K4" s="187">
        <v>7.032</v>
      </c>
      <c r="L4" s="187">
        <v>337.536</v>
      </c>
      <c r="M4" s="186"/>
      <c r="N4" s="186"/>
      <c r="O4" s="186"/>
      <c r="P4" s="188"/>
      <c r="Q4" s="143"/>
      <c r="R4" s="361"/>
      <c r="S4" s="185"/>
      <c r="T4" s="189"/>
      <c r="U4" s="186"/>
      <c r="V4" s="186"/>
      <c r="W4" s="186">
        <v>3.673</v>
      </c>
      <c r="X4" s="186">
        <v>22.038</v>
      </c>
      <c r="Y4" s="186"/>
      <c r="Z4" s="186"/>
      <c r="AA4" s="186">
        <v>7.9809999999999999</v>
      </c>
      <c r="AB4" s="186">
        <v>95.772000000000006</v>
      </c>
      <c r="AC4" s="186"/>
      <c r="AD4" s="186"/>
      <c r="AE4" s="186"/>
      <c r="AF4" s="186"/>
      <c r="AG4" s="186"/>
      <c r="AH4" s="186"/>
      <c r="AI4" s="186">
        <v>0.68300000000000005</v>
      </c>
      <c r="AJ4" s="186">
        <v>3.415</v>
      </c>
      <c r="AK4" s="186"/>
      <c r="AL4" s="186"/>
      <c r="AM4" s="186">
        <v>2.629</v>
      </c>
      <c r="AN4" s="186">
        <v>23.661000000000001</v>
      </c>
      <c r="AO4" s="186"/>
      <c r="AP4" s="186"/>
      <c r="AQ4" s="186"/>
      <c r="AR4" s="186"/>
      <c r="AS4" s="186"/>
      <c r="AT4" s="190"/>
      <c r="AU4" s="190">
        <v>6.3460000000000001</v>
      </c>
      <c r="AV4" s="190">
        <v>47.923999999999999</v>
      </c>
      <c r="AW4" s="191"/>
      <c r="AX4" s="192">
        <v>28.344000000000001</v>
      </c>
      <c r="AY4" s="192">
        <v>530.346</v>
      </c>
      <c r="AZ4" s="192">
        <v>0</v>
      </c>
      <c r="BA4">
        <f>(AZ4+AY4)/AX4</f>
        <v>18.711049957662997</v>
      </c>
    </row>
    <row r="5" spans="1:53" ht="18" x14ac:dyDescent="0.35">
      <c r="A5" s="183">
        <v>2</v>
      </c>
      <c r="B5" s="193" t="s">
        <v>64</v>
      </c>
      <c r="C5" s="149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>
        <v>1E-3</v>
      </c>
      <c r="P5" s="150">
        <v>1E-3</v>
      </c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>
        <v>1E-3</v>
      </c>
      <c r="AJ5" s="150">
        <v>2E-3</v>
      </c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94">
        <v>2E-3</v>
      </c>
      <c r="AY5" s="194">
        <v>3.0000000000000001E-3</v>
      </c>
      <c r="AZ5" s="194">
        <v>0</v>
      </c>
      <c r="BA5">
        <f t="shared" ref="BA5:BA33" si="0">(AZ5+AY5)/AX5</f>
        <v>1.5</v>
      </c>
    </row>
    <row r="6" spans="1:53" ht="18" x14ac:dyDescent="0.35">
      <c r="A6" s="183">
        <v>3</v>
      </c>
      <c r="B6" s="195" t="s">
        <v>22</v>
      </c>
      <c r="C6" s="185">
        <v>0.13800000000000001</v>
      </c>
      <c r="D6" s="186">
        <v>0.90900000000000003</v>
      </c>
      <c r="E6" s="186">
        <v>1.2777777777777777</v>
      </c>
      <c r="F6" s="186"/>
      <c r="G6" s="186">
        <v>0.19800000000000001</v>
      </c>
      <c r="H6" s="186">
        <v>1.3009999999999999</v>
      </c>
      <c r="I6" s="186">
        <v>1.5714285714285714</v>
      </c>
      <c r="J6" s="186"/>
      <c r="K6" s="186">
        <v>0.25800000000000001</v>
      </c>
      <c r="L6" s="186">
        <v>1.764</v>
      </c>
      <c r="M6" s="186">
        <v>2.4555555555555557</v>
      </c>
      <c r="N6" s="186"/>
      <c r="O6" s="186">
        <v>0.68799999999999994</v>
      </c>
      <c r="P6" s="188">
        <v>4.2859999999999996</v>
      </c>
      <c r="Q6" s="143">
        <v>7.3371428571428572</v>
      </c>
      <c r="R6" s="361"/>
      <c r="S6" s="185">
        <v>0.42799999999999999</v>
      </c>
      <c r="T6" s="189">
        <v>2.83</v>
      </c>
      <c r="U6" s="186">
        <v>8.8125</v>
      </c>
      <c r="V6" s="186"/>
      <c r="W6" s="186">
        <v>0.27800000000000002</v>
      </c>
      <c r="X6" s="186">
        <v>1.8340000000000001</v>
      </c>
      <c r="Y6" s="186">
        <v>2.411111111111111</v>
      </c>
      <c r="Z6" s="186"/>
      <c r="AA6" s="186">
        <v>0.61799999999999999</v>
      </c>
      <c r="AB6" s="186">
        <v>4.016</v>
      </c>
      <c r="AC6" s="186">
        <v>5.6388888888888893</v>
      </c>
      <c r="AD6" s="186"/>
      <c r="AE6" s="186">
        <v>0.73899999999999999</v>
      </c>
      <c r="AF6" s="186">
        <v>4.8049999999999997</v>
      </c>
      <c r="AG6" s="186">
        <v>9.5</v>
      </c>
      <c r="AH6" s="186"/>
      <c r="AI6" s="186">
        <v>0.432</v>
      </c>
      <c r="AJ6" s="186">
        <v>2.6549999999999998</v>
      </c>
      <c r="AK6" s="186">
        <v>5.2307692307692308</v>
      </c>
      <c r="AL6" s="186"/>
      <c r="AM6" s="186">
        <v>0.35299999999999998</v>
      </c>
      <c r="AN6" s="186">
        <v>2.2669999999999999</v>
      </c>
      <c r="AO6" s="186">
        <v>3.5111111111111111</v>
      </c>
      <c r="AP6" s="186"/>
      <c r="AQ6" s="186"/>
      <c r="AR6" s="186"/>
      <c r="AS6" s="186"/>
      <c r="AT6" s="186"/>
      <c r="AU6" s="186">
        <v>0.97</v>
      </c>
      <c r="AV6" s="186">
        <v>5.7</v>
      </c>
      <c r="AW6" s="196">
        <v>8.4111111111111114</v>
      </c>
      <c r="AX6" s="192">
        <v>5.0999999999999996</v>
      </c>
      <c r="AY6" s="192">
        <v>32.366999999999997</v>
      </c>
      <c r="AZ6" s="192">
        <v>56.157396214896224</v>
      </c>
      <c r="BA6">
        <f t="shared" si="0"/>
        <v>17.357724748018871</v>
      </c>
    </row>
    <row r="7" spans="1:53" ht="18" x14ac:dyDescent="0.35">
      <c r="A7" s="183">
        <v>4</v>
      </c>
      <c r="B7" s="195" t="s">
        <v>23</v>
      </c>
      <c r="C7" s="149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>
        <v>1.2E-2</v>
      </c>
      <c r="T7" s="150"/>
      <c r="U7" s="150">
        <v>2.5000000000000001E-2</v>
      </c>
      <c r="V7" s="150"/>
      <c r="W7" s="150">
        <v>4.0000000000000001E-3</v>
      </c>
      <c r="X7" s="150">
        <v>1.2E-2</v>
      </c>
      <c r="Y7" s="150"/>
      <c r="Z7" s="150"/>
      <c r="AA7" s="150">
        <v>1.347</v>
      </c>
      <c r="AB7" s="150">
        <v>10.064</v>
      </c>
      <c r="AC7" s="150"/>
      <c r="AD7" s="150"/>
      <c r="AE7" s="150"/>
      <c r="AF7" s="150"/>
      <c r="AG7" s="150"/>
      <c r="AH7" s="150"/>
      <c r="AI7" s="150">
        <v>1.4999999999999999E-2</v>
      </c>
      <c r="AJ7" s="150"/>
      <c r="AK7" s="150">
        <v>5.3846153846153849E-2</v>
      </c>
      <c r="AL7" s="150"/>
      <c r="AM7" s="150">
        <v>1E-3</v>
      </c>
      <c r="AN7" s="150"/>
      <c r="AO7" s="150">
        <v>2.7777777777777776E-2</v>
      </c>
      <c r="AP7" s="150"/>
      <c r="AQ7" s="150">
        <v>2E-3</v>
      </c>
      <c r="AR7" s="150">
        <v>1E-3</v>
      </c>
      <c r="AS7" s="150"/>
      <c r="AT7" s="150"/>
      <c r="AU7" s="150">
        <v>0.02</v>
      </c>
      <c r="AV7" s="150">
        <v>2.4E-2</v>
      </c>
      <c r="AW7" s="150"/>
      <c r="AX7" s="194">
        <v>1.4009999999999998</v>
      </c>
      <c r="AY7" s="194">
        <v>10.100999999999999</v>
      </c>
      <c r="AZ7" s="194">
        <v>0.10662393162393162</v>
      </c>
      <c r="BA7">
        <f t="shared" si="0"/>
        <v>7.2859556970906008</v>
      </c>
    </row>
    <row r="8" spans="1:53" ht="18" x14ac:dyDescent="0.35">
      <c r="A8" s="183">
        <v>5</v>
      </c>
      <c r="B8" s="195" t="s">
        <v>57</v>
      </c>
      <c r="C8" s="185"/>
      <c r="D8" s="186"/>
      <c r="E8" s="186"/>
      <c r="F8" s="186"/>
      <c r="G8" s="186"/>
      <c r="H8" s="186"/>
      <c r="I8" s="186"/>
      <c r="J8" s="186"/>
      <c r="K8" s="186">
        <v>0.32300000000000001</v>
      </c>
      <c r="L8" s="186">
        <v>0.97599999999999998</v>
      </c>
      <c r="M8" s="186"/>
      <c r="N8" s="186"/>
      <c r="O8" s="186"/>
      <c r="P8" s="188"/>
      <c r="Q8" s="143"/>
      <c r="R8" s="143"/>
      <c r="S8" s="196">
        <v>2.2069999999999999</v>
      </c>
      <c r="T8" s="150">
        <v>2.3330000000000002</v>
      </c>
      <c r="U8" s="143">
        <v>1.9219999999999999</v>
      </c>
      <c r="V8" s="361"/>
      <c r="W8" s="185">
        <v>4.1000000000000002E-2</v>
      </c>
      <c r="X8" s="186">
        <v>7.0000000000000007E-2</v>
      </c>
      <c r="Y8" s="186"/>
      <c r="Z8" s="186"/>
      <c r="AA8" s="186">
        <v>5.3959999999999999</v>
      </c>
      <c r="AB8" s="186">
        <v>41.197000000000003</v>
      </c>
      <c r="AC8" s="186">
        <v>13.177777777777777</v>
      </c>
      <c r="AD8" s="186"/>
      <c r="AE8" s="186"/>
      <c r="AF8" s="186"/>
      <c r="AG8" s="186"/>
      <c r="AH8" s="186"/>
      <c r="AI8" s="186">
        <v>1.3069999999999999</v>
      </c>
      <c r="AJ8" s="186">
        <v>1.4590000000000001</v>
      </c>
      <c r="AK8" s="186">
        <v>33.207692307692305</v>
      </c>
      <c r="AL8" s="186"/>
      <c r="AM8" s="186">
        <v>1.6990000000000001</v>
      </c>
      <c r="AN8" s="186">
        <v>5.8330000000000002</v>
      </c>
      <c r="AO8" s="186">
        <v>6.3666666666666663</v>
      </c>
      <c r="AP8" s="186"/>
      <c r="AQ8" s="186"/>
      <c r="AR8" s="186"/>
      <c r="AS8" s="186"/>
      <c r="AT8" s="186"/>
      <c r="AU8" s="186">
        <v>2.78</v>
      </c>
      <c r="AV8" s="186">
        <v>8.1989999999999998</v>
      </c>
      <c r="AW8" s="196">
        <v>4.3722222222222218</v>
      </c>
      <c r="AX8" s="194">
        <v>13.752999999999998</v>
      </c>
      <c r="AY8" s="194">
        <v>60.067</v>
      </c>
      <c r="AZ8" s="194">
        <v>59.046358974358974</v>
      </c>
      <c r="BA8">
        <f t="shared" si="0"/>
        <v>8.6609000926604374</v>
      </c>
    </row>
    <row r="9" spans="1:53" ht="18" x14ac:dyDescent="0.35">
      <c r="A9" s="183">
        <v>6</v>
      </c>
      <c r="B9" s="195" t="s">
        <v>29</v>
      </c>
      <c r="C9" s="139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2"/>
      <c r="Q9" s="143"/>
      <c r="R9" s="361"/>
      <c r="S9" s="154"/>
      <c r="T9" s="155"/>
      <c r="U9" s="145"/>
      <c r="V9" s="145"/>
      <c r="W9" s="140">
        <v>0.85599999999999998</v>
      </c>
      <c r="X9" s="140">
        <v>7.7160000000000002</v>
      </c>
      <c r="Y9" s="140"/>
      <c r="Z9" s="140"/>
      <c r="AA9" s="140">
        <v>8.9649999999999999</v>
      </c>
      <c r="AB9" s="140">
        <v>86.23</v>
      </c>
      <c r="AC9" s="140"/>
      <c r="AD9" s="140"/>
      <c r="AE9" s="140"/>
      <c r="AF9" s="140"/>
      <c r="AG9" s="140"/>
      <c r="AH9" s="140"/>
      <c r="AI9" s="140">
        <v>4.1779999999999999</v>
      </c>
      <c r="AJ9" s="140">
        <v>38.866999999999997</v>
      </c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>
        <v>6.4980000000000002</v>
      </c>
      <c r="AV9" s="140">
        <v>63.046999999999997</v>
      </c>
      <c r="AW9" s="152"/>
      <c r="AX9" s="192">
        <v>20.497</v>
      </c>
      <c r="AY9" s="192">
        <v>195.85999999999999</v>
      </c>
      <c r="AZ9" s="194">
        <v>0</v>
      </c>
      <c r="BA9">
        <f t="shared" si="0"/>
        <v>9.5555447138605647</v>
      </c>
    </row>
    <row r="10" spans="1:53" ht="18" x14ac:dyDescent="0.35">
      <c r="A10" s="183">
        <v>7</v>
      </c>
      <c r="B10" s="195" t="s">
        <v>30</v>
      </c>
      <c r="C10" s="185"/>
      <c r="D10" s="186"/>
      <c r="E10" s="186"/>
      <c r="F10" s="186"/>
      <c r="G10" s="186"/>
      <c r="H10" s="186"/>
      <c r="I10" s="186"/>
      <c r="J10" s="186"/>
      <c r="K10" s="186">
        <v>6.6000000000000003E-2</v>
      </c>
      <c r="L10" s="186"/>
      <c r="M10" s="186">
        <v>0.05</v>
      </c>
      <c r="N10" s="186"/>
      <c r="O10" s="186">
        <v>0.01</v>
      </c>
      <c r="P10" s="188"/>
      <c r="Q10" s="143">
        <v>0.31428571428571428</v>
      </c>
      <c r="R10" s="361"/>
      <c r="S10" s="185">
        <v>0.192</v>
      </c>
      <c r="T10" s="189"/>
      <c r="U10" s="186">
        <v>1.1499999999999999</v>
      </c>
      <c r="V10" s="186"/>
      <c r="W10" s="186"/>
      <c r="X10" s="186"/>
      <c r="Y10" s="186"/>
      <c r="Z10" s="186"/>
      <c r="AA10" s="186">
        <v>5.2880000000000003</v>
      </c>
      <c r="AB10" s="186">
        <v>71.47</v>
      </c>
      <c r="AC10" s="186"/>
      <c r="AD10" s="186"/>
      <c r="AE10" s="186"/>
      <c r="AF10" s="186"/>
      <c r="AG10" s="186"/>
      <c r="AH10" s="186"/>
      <c r="AI10" s="186">
        <v>0.13100000000000001</v>
      </c>
      <c r="AJ10" s="186">
        <v>1.3220000000000001</v>
      </c>
      <c r="AK10" s="186">
        <v>0.56153846153846154</v>
      </c>
      <c r="AL10" s="186"/>
      <c r="AM10" s="186">
        <v>0.20599999999999999</v>
      </c>
      <c r="AN10" s="186"/>
      <c r="AO10" s="186">
        <v>0.69444444444444442</v>
      </c>
      <c r="AP10" s="186"/>
      <c r="AQ10" s="186"/>
      <c r="AR10" s="186"/>
      <c r="AS10" s="186"/>
      <c r="AT10" s="186"/>
      <c r="AU10" s="186">
        <v>6.9999999999999993E-2</v>
      </c>
      <c r="AV10" s="186">
        <v>3.0000000000000001E-3</v>
      </c>
      <c r="AW10" s="196">
        <v>0.56111111111111112</v>
      </c>
      <c r="AX10" s="192">
        <v>5.963000000000001</v>
      </c>
      <c r="AY10" s="192">
        <v>72.795000000000002</v>
      </c>
      <c r="AZ10" s="192">
        <v>3.3313797313797311</v>
      </c>
      <c r="BA10">
        <f t="shared" si="0"/>
        <v>12.766456436588918</v>
      </c>
    </row>
    <row r="11" spans="1:53" ht="18" x14ac:dyDescent="0.35">
      <c r="A11" s="183">
        <v>8</v>
      </c>
      <c r="B11" s="195" t="s">
        <v>31</v>
      </c>
      <c r="C11" s="139"/>
      <c r="D11" s="140"/>
      <c r="E11" s="140"/>
      <c r="F11" s="140"/>
      <c r="G11" s="140">
        <v>7.9000000000000001E-2</v>
      </c>
      <c r="H11" s="140"/>
      <c r="I11" s="140">
        <v>3.6476190476190475</v>
      </c>
      <c r="J11" s="140"/>
      <c r="K11" s="140">
        <v>0.222</v>
      </c>
      <c r="L11" s="140">
        <v>3.1019999999999999</v>
      </c>
      <c r="M11" s="140">
        <v>2.9777777777777779</v>
      </c>
      <c r="N11" s="140"/>
      <c r="O11" s="140">
        <v>8.0000000000000002E-3</v>
      </c>
      <c r="P11" s="142"/>
      <c r="Q11" s="143">
        <v>0.53714285714285714</v>
      </c>
      <c r="R11" s="361"/>
      <c r="S11" s="139">
        <v>0.05</v>
      </c>
      <c r="T11" s="144"/>
      <c r="U11" s="140">
        <v>1.1875</v>
      </c>
      <c r="V11" s="140"/>
      <c r="W11" s="140"/>
      <c r="X11" s="140"/>
      <c r="Y11" s="140"/>
      <c r="Z11" s="140"/>
      <c r="AA11" s="140">
        <v>0.157</v>
      </c>
      <c r="AB11" s="140">
        <v>2.36</v>
      </c>
      <c r="AC11" s="140"/>
      <c r="AD11" s="140"/>
      <c r="AE11" s="140"/>
      <c r="AF11" s="140"/>
      <c r="AG11" s="140"/>
      <c r="AH11" s="140"/>
      <c r="AI11" s="140">
        <v>6.8000000000000005E-2</v>
      </c>
      <c r="AJ11" s="140">
        <v>0.20899999999999999</v>
      </c>
      <c r="AK11" s="140">
        <v>3.3230769230769233</v>
      </c>
      <c r="AL11" s="140"/>
      <c r="AM11" s="140"/>
      <c r="AN11" s="140"/>
      <c r="AO11" s="140"/>
      <c r="AP11" s="140"/>
      <c r="AQ11" s="140"/>
      <c r="AR11" s="140"/>
      <c r="AS11" s="140"/>
      <c r="AT11" s="140"/>
      <c r="AU11" s="140">
        <v>0.122</v>
      </c>
      <c r="AV11" s="140">
        <v>5.9999999999999995E-4</v>
      </c>
      <c r="AW11" s="152">
        <v>0.68888888888888888</v>
      </c>
      <c r="AX11" s="194">
        <v>0.70600000000000007</v>
      </c>
      <c r="AY11" s="194">
        <v>5.6715999999999998</v>
      </c>
      <c r="AZ11" s="194">
        <v>12.362005494505494</v>
      </c>
      <c r="BA11">
        <f t="shared" si="0"/>
        <v>25.543350558789648</v>
      </c>
    </row>
    <row r="12" spans="1:53" ht="18" x14ac:dyDescent="0.35">
      <c r="A12" s="183">
        <v>9</v>
      </c>
      <c r="B12" s="195" t="s">
        <v>32</v>
      </c>
      <c r="C12" s="185">
        <v>1.8000000000000001E-4</v>
      </c>
      <c r="D12" s="186"/>
      <c r="E12" s="186">
        <v>5.5555555555555558E-5</v>
      </c>
      <c r="F12" s="186"/>
      <c r="G12" s="186">
        <v>3.9699999999999996E-3</v>
      </c>
      <c r="H12" s="186"/>
      <c r="I12" s="186">
        <v>0.13423809523809524</v>
      </c>
      <c r="J12" s="186"/>
      <c r="K12" s="186">
        <v>3.9699999999999996E-3</v>
      </c>
      <c r="L12" s="186">
        <v>1.42E-3</v>
      </c>
      <c r="M12" s="186">
        <v>5.7222222222222223E-3</v>
      </c>
      <c r="N12" s="186"/>
      <c r="O12" s="186">
        <v>5.2700000000000004E-3</v>
      </c>
      <c r="P12" s="188"/>
      <c r="Q12" s="143">
        <v>2.0414285714285714</v>
      </c>
      <c r="R12" s="361"/>
      <c r="S12" s="185">
        <v>2.2970000000000001E-2</v>
      </c>
      <c r="T12" s="189"/>
      <c r="U12" s="186">
        <v>1.4433750000000001</v>
      </c>
      <c r="V12" s="186"/>
      <c r="W12" s="186">
        <v>2.5999999999999999E-3</v>
      </c>
      <c r="X12" s="186"/>
      <c r="Y12" s="186">
        <v>7.8888888888888883E-2</v>
      </c>
      <c r="Z12" s="186"/>
      <c r="AA12" s="186">
        <v>0.16755</v>
      </c>
      <c r="AB12" s="186">
        <v>0.14635000000000001</v>
      </c>
      <c r="AC12" s="186">
        <v>0.27295000000000003</v>
      </c>
      <c r="AD12" s="186"/>
      <c r="AE12" s="186">
        <v>5.0000000000000001E-4</v>
      </c>
      <c r="AF12" s="186"/>
      <c r="AG12" s="186">
        <v>0</v>
      </c>
      <c r="AH12" s="186"/>
      <c r="AI12" s="186">
        <v>1.2959999999999999E-2</v>
      </c>
      <c r="AJ12" s="186">
        <v>2.248E-2</v>
      </c>
      <c r="AK12" s="186">
        <v>0.1576153846153846</v>
      </c>
      <c r="AL12" s="186"/>
      <c r="AM12" s="186">
        <v>1.25E-3</v>
      </c>
      <c r="AN12" s="186"/>
      <c r="AO12" s="186">
        <v>3.944444444444444E-3</v>
      </c>
      <c r="AP12" s="186"/>
      <c r="AQ12" s="186">
        <v>3.0400000000000002E-3</v>
      </c>
      <c r="AR12" s="186">
        <v>1.6000000000000001E-3</v>
      </c>
      <c r="AS12" s="186">
        <v>0.20705555555555558</v>
      </c>
      <c r="AT12" s="186"/>
      <c r="AU12" s="186">
        <v>5.1289999999999995E-2</v>
      </c>
      <c r="AV12" s="186">
        <v>26.825599999999998</v>
      </c>
      <c r="AW12" s="196">
        <v>0.10200999999999999</v>
      </c>
      <c r="AX12" s="194">
        <v>0.27554999999999996</v>
      </c>
      <c r="AY12" s="194">
        <v>26.997449999999997</v>
      </c>
      <c r="AZ12" s="194">
        <v>4.4472837179487179</v>
      </c>
      <c r="BA12">
        <f t="shared" si="0"/>
        <v>114.11625373960703</v>
      </c>
    </row>
    <row r="13" spans="1:53" ht="18" x14ac:dyDescent="0.35">
      <c r="A13" s="197">
        <v>10</v>
      </c>
      <c r="B13" s="198" t="s">
        <v>33</v>
      </c>
      <c r="C13" s="199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1"/>
      <c r="Q13" s="162"/>
      <c r="R13" s="361"/>
      <c r="S13" s="199"/>
      <c r="T13" s="202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>
        <v>0.97699999999999998</v>
      </c>
      <c r="AV13" s="200">
        <v>4.47</v>
      </c>
      <c r="AW13" s="203">
        <v>4.1388888888888893</v>
      </c>
      <c r="AX13" s="204">
        <v>0.97699999999999998</v>
      </c>
      <c r="AY13" s="204">
        <v>4.47</v>
      </c>
      <c r="AZ13" s="204">
        <v>4.1388888888888893</v>
      </c>
      <c r="BA13">
        <f t="shared" si="0"/>
        <v>8.8115546457409302</v>
      </c>
    </row>
    <row r="14" spans="1:53" ht="18" x14ac:dyDescent="0.35">
      <c r="A14" s="183">
        <v>11</v>
      </c>
      <c r="B14" s="195" t="s">
        <v>34</v>
      </c>
      <c r="C14" s="196">
        <v>6.5000000000000002E-2</v>
      </c>
      <c r="D14" s="196"/>
      <c r="E14" s="196">
        <v>0.4777777777777778</v>
      </c>
      <c r="F14" s="196"/>
      <c r="G14" s="196">
        <v>7.8E-2</v>
      </c>
      <c r="H14" s="196"/>
      <c r="I14" s="196">
        <v>1.6</v>
      </c>
      <c r="J14" s="196"/>
      <c r="K14" s="196">
        <v>5.8659999999999997</v>
      </c>
      <c r="L14" s="196">
        <v>62.930999999999997</v>
      </c>
      <c r="M14" s="196"/>
      <c r="N14" s="196"/>
      <c r="O14" s="196">
        <v>0.23699999999999999</v>
      </c>
      <c r="P14" s="196"/>
      <c r="Q14" s="143">
        <v>3.9942857142857142</v>
      </c>
      <c r="R14" s="143"/>
      <c r="S14" s="196">
        <v>0.13400000000000001</v>
      </c>
      <c r="T14" s="143"/>
      <c r="U14" s="196">
        <v>3.9125000000000001</v>
      </c>
      <c r="V14" s="196"/>
      <c r="W14" s="196">
        <v>3.117</v>
      </c>
      <c r="X14" s="196">
        <v>19.998000000000001</v>
      </c>
      <c r="Y14" s="196"/>
      <c r="Z14" s="196"/>
      <c r="AA14" s="196">
        <v>7.766</v>
      </c>
      <c r="AB14" s="196">
        <v>66.363</v>
      </c>
      <c r="AC14" s="196"/>
      <c r="AD14" s="196"/>
      <c r="AE14" s="196">
        <v>2.8000000000000001E-2</v>
      </c>
      <c r="AF14" s="196"/>
      <c r="AG14" s="196">
        <v>3.8461538461538464E-2</v>
      </c>
      <c r="AH14" s="196"/>
      <c r="AI14" s="196">
        <v>3.4780000000000002</v>
      </c>
      <c r="AJ14" s="196">
        <v>3.3849999999999998</v>
      </c>
      <c r="AK14" s="196">
        <v>62.476923076923079</v>
      </c>
      <c r="AL14" s="196"/>
      <c r="AM14" s="196">
        <v>1.6240000000000001</v>
      </c>
      <c r="AN14" s="196">
        <v>11.382999999999999</v>
      </c>
      <c r="AO14" s="196">
        <v>0.56666666666666665</v>
      </c>
      <c r="AP14" s="196"/>
      <c r="AQ14" s="196"/>
      <c r="AR14" s="196"/>
      <c r="AS14" s="196"/>
      <c r="AT14" s="196"/>
      <c r="AU14" s="196">
        <v>2.363</v>
      </c>
      <c r="AV14" s="196">
        <v>13.973000000000001</v>
      </c>
      <c r="AW14" s="196">
        <v>2.1444444444444444</v>
      </c>
      <c r="AX14" s="192">
        <v>24.755999999999997</v>
      </c>
      <c r="AY14" s="192">
        <v>178.03300000000002</v>
      </c>
      <c r="AZ14" s="192">
        <v>75.211059218559214</v>
      </c>
      <c r="BA14">
        <f t="shared" si="0"/>
        <v>10.229603296920313</v>
      </c>
    </row>
    <row r="15" spans="1:53" ht="18" x14ac:dyDescent="0.35">
      <c r="A15" s="205">
        <v>12</v>
      </c>
      <c r="B15" s="206" t="s">
        <v>35</v>
      </c>
      <c r="C15" s="207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208"/>
      <c r="Q15" s="169"/>
      <c r="R15" s="361"/>
      <c r="S15" s="207"/>
      <c r="T15" s="209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208"/>
      <c r="AI15" s="208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>
        <v>53.260000000000005</v>
      </c>
      <c r="AV15" s="191">
        <v>7.6999999999999999E-2</v>
      </c>
      <c r="AW15" s="191">
        <v>44.840277777777779</v>
      </c>
      <c r="AX15" s="210">
        <v>53.260000000000005</v>
      </c>
      <c r="AY15" s="210">
        <v>7.6999999999999999E-2</v>
      </c>
      <c r="AZ15" s="210">
        <v>44.840277777777779</v>
      </c>
      <c r="BA15">
        <f t="shared" si="0"/>
        <v>0.84335857637584999</v>
      </c>
    </row>
    <row r="16" spans="1:53" ht="18" x14ac:dyDescent="0.35">
      <c r="A16" s="183">
        <v>13</v>
      </c>
      <c r="B16" s="195" t="s">
        <v>37</v>
      </c>
      <c r="C16" s="185"/>
      <c r="D16" s="186"/>
      <c r="E16" s="186"/>
      <c r="F16" s="186"/>
      <c r="G16" s="186">
        <v>1.0999999999999999E-2</v>
      </c>
      <c r="H16" s="186">
        <v>5.0999999999999997E-2</v>
      </c>
      <c r="I16" s="186"/>
      <c r="J16" s="186"/>
      <c r="K16" s="186">
        <v>1.1060000000000001</v>
      </c>
      <c r="L16" s="186">
        <v>13.949</v>
      </c>
      <c r="M16" s="186"/>
      <c r="N16" s="186"/>
      <c r="O16" s="186">
        <v>0.02</v>
      </c>
      <c r="P16" s="188">
        <v>1.0760000000000001</v>
      </c>
      <c r="Q16" s="143"/>
      <c r="R16" s="361"/>
      <c r="S16" s="185">
        <v>0.80500000000000005</v>
      </c>
      <c r="T16" s="189">
        <v>6.9039999999999999</v>
      </c>
      <c r="U16" s="186"/>
      <c r="V16" s="186"/>
      <c r="W16" s="186">
        <v>0.114</v>
      </c>
      <c r="X16" s="186">
        <v>0.50900000000000001</v>
      </c>
      <c r="Y16" s="186"/>
      <c r="Z16" s="186"/>
      <c r="AA16" s="186">
        <v>18.036000000000001</v>
      </c>
      <c r="AB16" s="186">
        <v>238.10900000000001</v>
      </c>
      <c r="AC16" s="186"/>
      <c r="AD16" s="186"/>
      <c r="AE16" s="186">
        <v>1.4E-2</v>
      </c>
      <c r="AF16" s="186">
        <v>7.0999999999999994E-2</v>
      </c>
      <c r="AG16" s="186"/>
      <c r="AH16" s="188"/>
      <c r="AI16" s="188">
        <v>3.4209999999999998</v>
      </c>
      <c r="AJ16" s="191">
        <v>33.856999999999999</v>
      </c>
      <c r="AK16" s="191"/>
      <c r="AL16" s="191"/>
      <c r="AM16" s="191">
        <v>0.21099999999999999</v>
      </c>
      <c r="AN16" s="191">
        <v>2.65</v>
      </c>
      <c r="AO16" s="191"/>
      <c r="AP16" s="191"/>
      <c r="AQ16" s="191"/>
      <c r="AR16" s="191"/>
      <c r="AS16" s="207"/>
      <c r="AT16" s="207"/>
      <c r="AU16" s="190">
        <v>6.0979999999999999</v>
      </c>
      <c r="AV16" s="190">
        <v>57.914999999999999</v>
      </c>
      <c r="AW16" s="191"/>
      <c r="AX16" s="211">
        <v>29.835999999999999</v>
      </c>
      <c r="AY16" s="211">
        <v>355.09100000000007</v>
      </c>
      <c r="AZ16" s="210">
        <v>0</v>
      </c>
      <c r="BA16">
        <f t="shared" si="0"/>
        <v>11.901427805335839</v>
      </c>
    </row>
    <row r="17" spans="1:53" ht="18" x14ac:dyDescent="0.35">
      <c r="A17" s="183">
        <v>14</v>
      </c>
      <c r="B17" s="195" t="s">
        <v>38</v>
      </c>
      <c r="C17" s="149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70"/>
      <c r="AK17" s="170"/>
      <c r="AL17" s="170"/>
      <c r="AM17" s="170"/>
      <c r="AN17" s="170"/>
      <c r="AO17" s="170"/>
      <c r="AP17" s="170"/>
      <c r="AQ17" s="170"/>
      <c r="AR17" s="170"/>
      <c r="AS17" s="150"/>
      <c r="AT17" s="150"/>
      <c r="AU17" s="150">
        <v>11.454000000000001</v>
      </c>
      <c r="AV17" s="150">
        <v>59.933</v>
      </c>
      <c r="AW17" s="150">
        <v>2.5673194444444443E-2</v>
      </c>
      <c r="AX17" s="194">
        <v>11.454000000000001</v>
      </c>
      <c r="AY17" s="194">
        <v>59.933</v>
      </c>
      <c r="AZ17" s="192">
        <v>2.5673194444444443E-2</v>
      </c>
      <c r="BA17">
        <f t="shared" si="0"/>
        <v>5.2347366155443025</v>
      </c>
    </row>
    <row r="18" spans="1:53" ht="18" x14ac:dyDescent="0.35">
      <c r="A18" s="183">
        <v>15</v>
      </c>
      <c r="B18" s="212" t="s">
        <v>39</v>
      </c>
      <c r="C18" s="185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>
        <v>4.0000000000000001E-3</v>
      </c>
      <c r="P18" s="188"/>
      <c r="Q18" s="143">
        <v>4.5714285714285714E-2</v>
      </c>
      <c r="R18" s="361"/>
      <c r="S18" s="185">
        <v>5.0000000000000001E-3</v>
      </c>
      <c r="T18" s="189"/>
      <c r="U18" s="186">
        <v>0.1125</v>
      </c>
      <c r="V18" s="186"/>
      <c r="W18" s="186"/>
      <c r="X18" s="186"/>
      <c r="Y18" s="186"/>
      <c r="Z18" s="186"/>
      <c r="AA18" s="186">
        <v>5.0000000000000001E-3</v>
      </c>
      <c r="AB18" s="186">
        <v>5.0000000000000001E-3</v>
      </c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>
        <v>1.7999999999999999E-2</v>
      </c>
      <c r="AV18" s="186">
        <v>4.0000000000000001E-3</v>
      </c>
      <c r="AW18" s="196">
        <v>9.4444444444444442E-2</v>
      </c>
      <c r="AX18" s="192">
        <v>3.2000000000000001E-2</v>
      </c>
      <c r="AY18" s="192">
        <v>9.0000000000000011E-3</v>
      </c>
      <c r="AZ18" s="194">
        <v>0.25265873015873019</v>
      </c>
      <c r="BA18">
        <f t="shared" si="0"/>
        <v>8.1768353174603181</v>
      </c>
    </row>
    <row r="19" spans="1:53" ht="18" x14ac:dyDescent="0.35">
      <c r="A19" s="183">
        <v>16</v>
      </c>
      <c r="B19" s="198" t="s">
        <v>40</v>
      </c>
      <c r="C19" s="199">
        <v>2.9499999999999999E-3</v>
      </c>
      <c r="D19" s="200"/>
      <c r="E19" s="200">
        <v>2.5100000000000001E-3</v>
      </c>
      <c r="F19" s="200"/>
      <c r="G19" s="200">
        <v>1.9319999999999999E-3</v>
      </c>
      <c r="H19" s="200"/>
      <c r="I19" s="200">
        <v>1.1014285714285716E-3</v>
      </c>
      <c r="J19" s="200"/>
      <c r="K19" s="200">
        <v>4.1999999999999998E-5</v>
      </c>
      <c r="L19" s="200"/>
      <c r="M19" s="200">
        <v>1.5E-3</v>
      </c>
      <c r="N19" s="200"/>
      <c r="O19" s="200">
        <v>4.2009999999999999E-3</v>
      </c>
      <c r="P19" s="201"/>
      <c r="Q19" s="162">
        <v>1.350457142857143E-3</v>
      </c>
      <c r="R19" s="361"/>
      <c r="S19" s="199"/>
      <c r="T19" s="202"/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0">
        <v>2.0699999999999998E-3</v>
      </c>
      <c r="AF19" s="200"/>
      <c r="AG19" s="200">
        <v>5.2069230769230769E-3</v>
      </c>
      <c r="AH19" s="200"/>
      <c r="AI19" s="200">
        <v>3.6699999999999998E-4</v>
      </c>
      <c r="AJ19" s="200"/>
      <c r="AK19" s="200">
        <v>1.9769230769230771E-3</v>
      </c>
      <c r="AL19" s="200"/>
      <c r="AM19" s="200"/>
      <c r="AN19" s="200"/>
      <c r="AO19" s="200"/>
      <c r="AP19" s="200"/>
      <c r="AQ19" s="200"/>
      <c r="AR19" s="200"/>
      <c r="AS19" s="200"/>
      <c r="AT19" s="200"/>
      <c r="AU19" s="200">
        <v>6.6E-4</v>
      </c>
      <c r="AV19" s="200"/>
      <c r="AW19" s="203">
        <v>1.9638888888888887E-3</v>
      </c>
      <c r="AX19" s="194">
        <v>1.2222E-2</v>
      </c>
      <c r="AY19" s="194">
        <v>0</v>
      </c>
      <c r="AZ19" s="194">
        <v>1.5609620757020758E-2</v>
      </c>
      <c r="BA19">
        <f t="shared" si="0"/>
        <v>1.2771740105564358</v>
      </c>
    </row>
    <row r="20" spans="1:53" ht="18" x14ac:dyDescent="0.35">
      <c r="A20" s="183">
        <v>17</v>
      </c>
      <c r="B20" s="195" t="s">
        <v>41</v>
      </c>
      <c r="C20" s="196">
        <v>1.0999999999999999E-2</v>
      </c>
      <c r="D20" s="150"/>
      <c r="E20" s="196">
        <v>0.60994444444444451</v>
      </c>
      <c r="F20" s="196"/>
      <c r="G20" s="196">
        <v>0.01</v>
      </c>
      <c r="H20" s="196"/>
      <c r="I20" s="196">
        <v>4.0476190476190473E-3</v>
      </c>
      <c r="J20" s="196"/>
      <c r="K20" s="196"/>
      <c r="L20" s="196"/>
      <c r="M20" s="196"/>
      <c r="N20" s="196"/>
      <c r="O20" s="196">
        <v>1.7999999999999999E-2</v>
      </c>
      <c r="P20" s="196"/>
      <c r="Q20" s="196">
        <v>9.1428571428571428E-2</v>
      </c>
      <c r="R20" s="196"/>
      <c r="S20" s="196">
        <v>2.0500000000000001E-2</v>
      </c>
      <c r="T20" s="150"/>
      <c r="U20" s="143">
        <v>6.6250000000000007E-3</v>
      </c>
      <c r="V20" s="143"/>
      <c r="W20" s="196"/>
      <c r="X20" s="196"/>
      <c r="Y20" s="196"/>
      <c r="Z20" s="196"/>
      <c r="AA20" s="196"/>
      <c r="AB20" s="196"/>
      <c r="AC20" s="196"/>
      <c r="AD20" s="196"/>
      <c r="AE20" s="196">
        <v>1.4999999999999999E-2</v>
      </c>
      <c r="AF20" s="150"/>
      <c r="AG20" s="196">
        <v>1.7692307692307693E-3</v>
      </c>
      <c r="AH20" s="196"/>
      <c r="AI20" s="196">
        <v>2.4199999999999999E-2</v>
      </c>
      <c r="AJ20" s="150"/>
      <c r="AK20" s="196">
        <v>0.62784615384615383</v>
      </c>
      <c r="AL20" s="196"/>
      <c r="AM20" s="196"/>
      <c r="AN20" s="196"/>
      <c r="AO20" s="196"/>
      <c r="AP20" s="196"/>
      <c r="AQ20" s="196"/>
      <c r="AR20" s="196"/>
      <c r="AS20" s="196"/>
      <c r="AT20" s="196"/>
      <c r="AU20" s="196">
        <v>7.9000000000000001E-2</v>
      </c>
      <c r="AV20" s="196"/>
      <c r="AW20" s="196">
        <v>0.90527777777777774</v>
      </c>
      <c r="AX20" s="192">
        <v>0.1777</v>
      </c>
      <c r="AY20" s="192"/>
      <c r="AZ20" s="192">
        <v>2.2469387973137973</v>
      </c>
      <c r="BA20">
        <f t="shared" si="0"/>
        <v>12.64456273108496</v>
      </c>
    </row>
    <row r="21" spans="1:53" ht="18" x14ac:dyDescent="0.35">
      <c r="A21" s="183">
        <v>18</v>
      </c>
      <c r="B21" s="213" t="s">
        <v>42</v>
      </c>
      <c r="C21" s="207">
        <v>2.0003E-2</v>
      </c>
      <c r="D21" s="190"/>
      <c r="E21" s="190">
        <v>5.4722333333333335</v>
      </c>
      <c r="F21" s="190"/>
      <c r="G21" s="190">
        <v>0</v>
      </c>
      <c r="H21" s="190"/>
      <c r="I21" s="190">
        <v>0.15380952380952378</v>
      </c>
      <c r="J21" s="190"/>
      <c r="K21" s="190"/>
      <c r="L21" s="190"/>
      <c r="M21" s="190"/>
      <c r="N21" s="190"/>
      <c r="O21" s="190">
        <v>1.4251E-2</v>
      </c>
      <c r="P21" s="208"/>
      <c r="Q21" s="169">
        <v>5.7165714285714285E-2</v>
      </c>
      <c r="R21" s="361"/>
      <c r="S21" s="207"/>
      <c r="T21" s="209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>
        <v>5.0000000000000001E-3</v>
      </c>
      <c r="AF21" s="190"/>
      <c r="AG21" s="190">
        <v>1.5384615384615385E-2</v>
      </c>
      <c r="AH21" s="190"/>
      <c r="AI21" s="190">
        <v>6.0400000000000004E-4</v>
      </c>
      <c r="AJ21" s="190"/>
      <c r="AK21" s="190">
        <v>8.7938615384615382</v>
      </c>
      <c r="AL21" s="190"/>
      <c r="AM21" s="190"/>
      <c r="AN21" s="190"/>
      <c r="AO21" s="190"/>
      <c r="AP21" s="190"/>
      <c r="AQ21" s="190"/>
      <c r="AR21" s="190"/>
      <c r="AS21" s="190"/>
      <c r="AT21" s="190"/>
      <c r="AU21" s="190">
        <v>3.6779999999999998E-3</v>
      </c>
      <c r="AV21" s="190"/>
      <c r="AW21" s="191">
        <v>9.911205555555556</v>
      </c>
      <c r="AX21" s="192">
        <v>4.3535999999999998E-2</v>
      </c>
      <c r="AY21" s="194"/>
      <c r="AZ21" s="194">
        <v>24.40366028083028</v>
      </c>
      <c r="BA21">
        <f t="shared" si="0"/>
        <v>560.53978961848316</v>
      </c>
    </row>
    <row r="22" spans="1:53" ht="18" x14ac:dyDescent="0.35">
      <c r="A22" s="183">
        <v>19</v>
      </c>
      <c r="B22" s="195" t="s">
        <v>43</v>
      </c>
      <c r="C22" s="149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>
        <v>6.6099999999999994</v>
      </c>
      <c r="AV22" s="150">
        <v>24.9</v>
      </c>
      <c r="AW22" s="150">
        <v>28.541222222222224</v>
      </c>
      <c r="AX22" s="194">
        <v>6.6099999999999994</v>
      </c>
      <c r="AY22" s="194">
        <v>24.9</v>
      </c>
      <c r="AZ22" s="194">
        <v>28.541222222222224</v>
      </c>
      <c r="BA22">
        <f t="shared" si="0"/>
        <v>8.0849050260548001</v>
      </c>
    </row>
    <row r="23" spans="1:53" ht="18" x14ac:dyDescent="0.35">
      <c r="A23" s="183">
        <v>20</v>
      </c>
      <c r="B23" s="195" t="s">
        <v>45</v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43"/>
      <c r="R23" s="143"/>
      <c r="S23" s="196"/>
      <c r="T23" s="143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>
        <v>2.0920000000000001</v>
      </c>
      <c r="AV23" s="196">
        <v>13.073</v>
      </c>
      <c r="AW23" s="196"/>
      <c r="AX23" s="192">
        <v>2.0920000000000001</v>
      </c>
      <c r="AY23" s="192">
        <v>13.073</v>
      </c>
      <c r="AZ23" s="194">
        <v>0</v>
      </c>
      <c r="BA23">
        <f t="shared" si="0"/>
        <v>6.2490439770554493</v>
      </c>
    </row>
    <row r="24" spans="1:53" ht="18" x14ac:dyDescent="0.35">
      <c r="A24" s="183">
        <v>21</v>
      </c>
      <c r="B24" s="195" t="s">
        <v>46</v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43"/>
      <c r="R24" s="143"/>
      <c r="S24" s="196"/>
      <c r="T24" s="143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>
        <v>3.4750000000000001</v>
      </c>
      <c r="AV24" s="196">
        <v>4.8529999999999998</v>
      </c>
      <c r="AW24" s="196"/>
      <c r="AX24" s="194">
        <v>3.4750000000000001</v>
      </c>
      <c r="AY24" s="194">
        <v>4.8529999999999998</v>
      </c>
      <c r="AZ24" s="194">
        <v>0</v>
      </c>
      <c r="BA24">
        <f t="shared" si="0"/>
        <v>1.3965467625899279</v>
      </c>
    </row>
    <row r="25" spans="1:53" ht="18" x14ac:dyDescent="0.35">
      <c r="A25" s="205">
        <v>22</v>
      </c>
      <c r="B25" s="206" t="s">
        <v>47</v>
      </c>
      <c r="C25" s="207">
        <v>1.0999999999999999E-2</v>
      </c>
      <c r="D25" s="190"/>
      <c r="E25" s="190">
        <v>2.7777777777777776E-2</v>
      </c>
      <c r="F25" s="190"/>
      <c r="G25" s="190">
        <v>7.0000000000000001E-3</v>
      </c>
      <c r="H25" s="190"/>
      <c r="I25" s="190">
        <v>4.2857142857142858E-2</v>
      </c>
      <c r="J25" s="190"/>
      <c r="K25" s="190"/>
      <c r="L25" s="190"/>
      <c r="M25" s="190"/>
      <c r="N25" s="190"/>
      <c r="O25" s="190">
        <v>3.1E-2</v>
      </c>
      <c r="P25" s="208"/>
      <c r="Q25" s="169">
        <v>6.2040816326530614E-4</v>
      </c>
      <c r="R25" s="361"/>
      <c r="S25" s="207">
        <v>3.4000000000000002E-2</v>
      </c>
      <c r="T25" s="209"/>
      <c r="U25" s="190">
        <v>1.0937499999999999E-2</v>
      </c>
      <c r="V25" s="190"/>
      <c r="W25" s="190"/>
      <c r="X25" s="190"/>
      <c r="Y25" s="190"/>
      <c r="Z25" s="190"/>
      <c r="AA25" s="190">
        <v>1.7000000000000001E-2</v>
      </c>
      <c r="AB25" s="190">
        <v>16.5</v>
      </c>
      <c r="AC25" s="190"/>
      <c r="AD25" s="190"/>
      <c r="AE25" s="190">
        <v>3.7999999999999999E-2</v>
      </c>
      <c r="AF25" s="190"/>
      <c r="AG25" s="190">
        <v>1.051939513477975E-5</v>
      </c>
      <c r="AH25" s="208"/>
      <c r="AI25" s="208">
        <v>2.5000000000000001E-2</v>
      </c>
      <c r="AJ25" s="191"/>
      <c r="AK25" s="191">
        <v>1.4201183431952664E-3</v>
      </c>
      <c r="AL25" s="191"/>
      <c r="AM25" s="191"/>
      <c r="AN25" s="191"/>
      <c r="AO25" s="191"/>
      <c r="AP25" s="191"/>
      <c r="AQ25" s="191"/>
      <c r="AR25" s="191"/>
      <c r="AS25" s="207"/>
      <c r="AT25" s="207"/>
      <c r="AU25" s="190">
        <v>7.9000000000000001E-2</v>
      </c>
      <c r="AV25" s="190"/>
      <c r="AW25" s="191">
        <v>2.4382716049382715E-3</v>
      </c>
      <c r="AX25" s="210">
        <v>0.24199999999999999</v>
      </c>
      <c r="AY25" s="210">
        <v>16.5</v>
      </c>
      <c r="AZ25" s="194">
        <v>8.6061738141454264E-2</v>
      </c>
      <c r="BA25">
        <f t="shared" si="0"/>
        <v>68.537445198931621</v>
      </c>
    </row>
    <row r="26" spans="1:53" ht="18" x14ac:dyDescent="0.35">
      <c r="A26" s="183">
        <v>23</v>
      </c>
      <c r="B26" s="195" t="s">
        <v>48</v>
      </c>
      <c r="C26" s="149">
        <v>5.0000000000000001E-3</v>
      </c>
      <c r="D26" s="150"/>
      <c r="E26" s="150">
        <v>0.83333333333333337</v>
      </c>
      <c r="F26" s="150"/>
      <c r="G26" s="150">
        <v>2.9000000000000001E-2</v>
      </c>
      <c r="H26" s="150"/>
      <c r="I26" s="150">
        <v>8.3428571428571434</v>
      </c>
      <c r="J26" s="150"/>
      <c r="K26" s="150">
        <v>5.4530000000000003</v>
      </c>
      <c r="L26" s="150">
        <v>98.224999999999994</v>
      </c>
      <c r="M26" s="150"/>
      <c r="N26" s="150"/>
      <c r="O26" s="150">
        <v>1.9E-2</v>
      </c>
      <c r="P26" s="150"/>
      <c r="Q26" s="150">
        <v>13.028571428571428</v>
      </c>
      <c r="R26" s="150"/>
      <c r="S26" s="150">
        <v>0.04</v>
      </c>
      <c r="T26" s="150">
        <v>0.442</v>
      </c>
      <c r="U26" s="150"/>
      <c r="V26" s="150"/>
      <c r="W26" s="150">
        <v>14.068</v>
      </c>
      <c r="X26" s="150">
        <v>126.205</v>
      </c>
      <c r="Y26" s="150"/>
      <c r="Z26" s="150"/>
      <c r="AA26" s="150">
        <v>2.9550000000000001</v>
      </c>
      <c r="AB26" s="150">
        <v>91.67</v>
      </c>
      <c r="AC26" s="150"/>
      <c r="AD26" s="150"/>
      <c r="AE26" s="150"/>
      <c r="AF26" s="150"/>
      <c r="AG26" s="150"/>
      <c r="AH26" s="150"/>
      <c r="AI26" s="150">
        <v>2.7890000000000001</v>
      </c>
      <c r="AJ26" s="170">
        <v>55.09</v>
      </c>
      <c r="AK26" s="170"/>
      <c r="AL26" s="170"/>
      <c r="AM26" s="170">
        <v>6.3419999999999996</v>
      </c>
      <c r="AN26" s="170">
        <v>83.793999999999997</v>
      </c>
      <c r="AO26" s="170"/>
      <c r="AP26" s="170"/>
      <c r="AQ26" s="170"/>
      <c r="AR26" s="170"/>
      <c r="AS26" s="150"/>
      <c r="AT26" s="150"/>
      <c r="AU26" s="150">
        <v>5.5552000000000001</v>
      </c>
      <c r="AV26" s="150">
        <v>54.78</v>
      </c>
      <c r="AW26" s="150">
        <v>1.7055555555555555</v>
      </c>
      <c r="AX26" s="194">
        <v>37.255200000000002</v>
      </c>
      <c r="AY26" s="194">
        <v>510.2059999999999</v>
      </c>
      <c r="AZ26" s="192">
        <v>23.910317460317462</v>
      </c>
      <c r="BA26">
        <f t="shared" si="0"/>
        <v>14.336691722506318</v>
      </c>
    </row>
    <row r="27" spans="1:53" ht="18" x14ac:dyDescent="0.35">
      <c r="A27" s="183">
        <v>24</v>
      </c>
      <c r="B27" s="214" t="s">
        <v>65</v>
      </c>
      <c r="C27" s="196"/>
      <c r="D27" s="196"/>
      <c r="E27" s="196"/>
      <c r="F27" s="196"/>
      <c r="G27" s="196">
        <v>0.01</v>
      </c>
      <c r="H27" s="196"/>
      <c r="I27" s="196">
        <v>0.77619047619047621</v>
      </c>
      <c r="J27" s="196"/>
      <c r="K27" s="196">
        <v>1.0920000000000001</v>
      </c>
      <c r="L27" s="196">
        <v>2.7749999999999999</v>
      </c>
      <c r="M27" s="196">
        <v>0.12222222222222222</v>
      </c>
      <c r="N27" s="196"/>
      <c r="O27" s="196">
        <v>0.11899999999999999</v>
      </c>
      <c r="P27" s="196"/>
      <c r="Q27" s="143">
        <v>10.48</v>
      </c>
      <c r="R27" s="143"/>
      <c r="S27" s="196"/>
      <c r="T27" s="143"/>
      <c r="U27" s="196"/>
      <c r="V27" s="196"/>
      <c r="W27" s="196">
        <v>0.29699999999999999</v>
      </c>
      <c r="X27" s="196">
        <v>1.2390000000000001</v>
      </c>
      <c r="Y27" s="196"/>
      <c r="Z27" s="196"/>
      <c r="AA27" s="196">
        <v>1.7389999999999999</v>
      </c>
      <c r="AB27" s="196">
        <v>11.397</v>
      </c>
      <c r="AC27" s="196"/>
      <c r="AD27" s="196"/>
      <c r="AE27" s="196">
        <v>6.0000000000000001E-3</v>
      </c>
      <c r="AF27" s="196"/>
      <c r="AG27" s="196">
        <v>3.8461538461538464E-2</v>
      </c>
      <c r="AH27" s="196"/>
      <c r="AI27" s="196">
        <v>0.53800000000000003</v>
      </c>
      <c r="AJ27" s="196">
        <v>2.6539999999999999</v>
      </c>
      <c r="AK27" s="196"/>
      <c r="AL27" s="196"/>
      <c r="AM27" s="196">
        <v>3.7999999999999999E-2</v>
      </c>
      <c r="AN27" s="196">
        <v>0.245</v>
      </c>
      <c r="AO27" s="196">
        <v>0.3</v>
      </c>
      <c r="AP27" s="196"/>
      <c r="AQ27" s="196"/>
      <c r="AR27" s="196"/>
      <c r="AS27" s="196"/>
      <c r="AT27" s="196"/>
      <c r="AU27" s="196">
        <v>0.8640000000000001</v>
      </c>
      <c r="AV27" s="196">
        <v>3.9079999999999999</v>
      </c>
      <c r="AW27" s="196"/>
      <c r="AX27" s="192">
        <v>4.7029999999999994</v>
      </c>
      <c r="AY27" s="192">
        <v>22.218000000000004</v>
      </c>
      <c r="AZ27" s="192">
        <v>11.716874236874238</v>
      </c>
      <c r="BA27">
        <f t="shared" si="0"/>
        <v>7.2155803182807245</v>
      </c>
    </row>
    <row r="28" spans="1:53" ht="18" x14ac:dyDescent="0.35">
      <c r="A28" s="205">
        <v>25</v>
      </c>
      <c r="B28" s="206" t="s">
        <v>49</v>
      </c>
      <c r="C28" s="207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208"/>
      <c r="Q28" s="169"/>
      <c r="R28" s="361"/>
      <c r="S28" s="207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208"/>
      <c r="AI28" s="208"/>
      <c r="AJ28" s="191"/>
      <c r="AK28" s="191"/>
      <c r="AL28" s="191"/>
      <c r="AM28" s="191"/>
      <c r="AN28" s="191"/>
      <c r="AO28" s="191"/>
      <c r="AP28" s="191"/>
      <c r="AQ28" s="191"/>
      <c r="AR28" s="191"/>
      <c r="AS28" s="207"/>
      <c r="AT28" s="207"/>
      <c r="AU28" s="190"/>
      <c r="AV28" s="190"/>
      <c r="AW28" s="191"/>
      <c r="AX28" s="210">
        <v>0</v>
      </c>
      <c r="AY28" s="210">
        <v>0</v>
      </c>
      <c r="AZ28" s="210">
        <v>0</v>
      </c>
      <c r="BA28" t="e">
        <f t="shared" si="0"/>
        <v>#DIV/0!</v>
      </c>
    </row>
    <row r="29" spans="1:53" ht="18" x14ac:dyDescent="0.35">
      <c r="A29" s="183">
        <v>26</v>
      </c>
      <c r="B29" s="195" t="s">
        <v>50</v>
      </c>
      <c r="C29" s="185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8"/>
      <c r="Q29" s="143"/>
      <c r="R29" s="361"/>
      <c r="S29" s="185">
        <v>3.5129999999999999</v>
      </c>
      <c r="T29" s="189"/>
      <c r="U29" s="186">
        <v>43.912500000000001</v>
      </c>
      <c r="V29" s="186"/>
      <c r="W29" s="186"/>
      <c r="X29" s="186"/>
      <c r="Y29" s="186"/>
      <c r="Z29" s="186"/>
      <c r="AA29" s="186">
        <v>4.0810000000000004</v>
      </c>
      <c r="AB29" s="186">
        <v>8.1639999999999997</v>
      </c>
      <c r="AC29" s="186"/>
      <c r="AD29" s="186"/>
      <c r="AE29" s="186"/>
      <c r="AF29" s="186"/>
      <c r="AG29" s="186"/>
      <c r="AH29" s="186"/>
      <c r="AI29" s="186">
        <v>13.766</v>
      </c>
      <c r="AJ29" s="190">
        <v>38.564</v>
      </c>
      <c r="AK29" s="208">
        <v>21.9</v>
      </c>
      <c r="AL29" s="367"/>
      <c r="AM29" s="170"/>
      <c r="AN29" s="170"/>
      <c r="AO29" s="207"/>
      <c r="AP29" s="207"/>
      <c r="AQ29" s="190"/>
      <c r="AR29" s="190"/>
      <c r="AS29" s="186"/>
      <c r="AT29" s="186"/>
      <c r="AU29" s="186"/>
      <c r="AV29" s="186"/>
      <c r="AW29" s="196"/>
      <c r="AX29" s="192">
        <v>21.36</v>
      </c>
      <c r="AY29" s="192">
        <v>46.728000000000002</v>
      </c>
      <c r="AZ29" s="194">
        <v>65.8125</v>
      </c>
      <c r="BA29">
        <f t="shared" si="0"/>
        <v>5.2687500000000007</v>
      </c>
    </row>
    <row r="30" spans="1:53" ht="18" x14ac:dyDescent="0.35">
      <c r="A30" s="183">
        <v>27</v>
      </c>
      <c r="B30" s="195" t="s">
        <v>51</v>
      </c>
      <c r="C30" s="185"/>
      <c r="D30" s="186"/>
      <c r="E30" s="186"/>
      <c r="F30" s="186"/>
      <c r="G30" s="186">
        <v>0.02</v>
      </c>
      <c r="H30" s="186"/>
      <c r="I30" s="186">
        <v>0.6</v>
      </c>
      <c r="J30" s="186"/>
      <c r="K30" s="186"/>
      <c r="L30" s="186"/>
      <c r="M30" s="186"/>
      <c r="N30" s="186"/>
      <c r="O30" s="186">
        <v>0.112</v>
      </c>
      <c r="P30" s="188"/>
      <c r="Q30" s="143">
        <v>6.1085714285714285</v>
      </c>
      <c r="R30" s="361"/>
      <c r="S30" s="185">
        <v>0.28399999999999997</v>
      </c>
      <c r="T30" s="189"/>
      <c r="U30" s="186">
        <v>8.0749999999999993</v>
      </c>
      <c r="V30" s="186"/>
      <c r="W30" s="186"/>
      <c r="X30" s="186"/>
      <c r="Y30" s="186"/>
      <c r="Z30" s="186"/>
      <c r="AA30" s="186">
        <v>0.83899999999999997</v>
      </c>
      <c r="AB30" s="186">
        <v>2.6429999999999998</v>
      </c>
      <c r="AC30" s="186"/>
      <c r="AD30" s="186"/>
      <c r="AE30" s="186"/>
      <c r="AF30" s="186"/>
      <c r="AG30" s="186"/>
      <c r="AH30" s="186"/>
      <c r="AI30" s="186">
        <v>0.14499999999999999</v>
      </c>
      <c r="AJ30" s="186">
        <v>0.21299999999999999</v>
      </c>
      <c r="AK30" s="186"/>
      <c r="AL30" s="190"/>
      <c r="AM30" s="190">
        <v>1.7000000000000001E-2</v>
      </c>
      <c r="AN30" s="190">
        <v>1.7999999999999999E-2</v>
      </c>
      <c r="AO30" s="186"/>
      <c r="AP30" s="186"/>
      <c r="AQ30" s="186"/>
      <c r="AR30" s="186"/>
      <c r="AS30" s="186"/>
      <c r="AT30" s="186"/>
      <c r="AU30" s="186">
        <v>0.14600000000000002</v>
      </c>
      <c r="AV30" s="186">
        <v>0.14399999999999999</v>
      </c>
      <c r="AW30" s="196">
        <v>0.13333333333333333</v>
      </c>
      <c r="AX30" s="192">
        <v>1.5629999999999997</v>
      </c>
      <c r="AY30" s="192">
        <v>3.0179999999999998</v>
      </c>
      <c r="AZ30" s="194">
        <v>14.91690476190476</v>
      </c>
      <c r="BA30">
        <f t="shared" si="0"/>
        <v>11.474667154129728</v>
      </c>
    </row>
    <row r="31" spans="1:53" ht="18" x14ac:dyDescent="0.35">
      <c r="A31" s="183">
        <v>28</v>
      </c>
      <c r="B31" s="195" t="s">
        <v>52</v>
      </c>
      <c r="C31" s="185">
        <v>2E-3</v>
      </c>
      <c r="D31" s="186"/>
      <c r="E31" s="186">
        <v>7.4999999999999997E-2</v>
      </c>
      <c r="F31" s="186"/>
      <c r="G31" s="186"/>
      <c r="H31" s="186"/>
      <c r="I31" s="186"/>
      <c r="J31" s="186"/>
      <c r="K31" s="186">
        <v>0.67</v>
      </c>
      <c r="L31" s="186"/>
      <c r="M31" s="186">
        <v>9.4777777777777779</v>
      </c>
      <c r="N31" s="186"/>
      <c r="O31" s="186">
        <v>8.9999999999999993E-3</v>
      </c>
      <c r="P31" s="188"/>
      <c r="Q31" s="143">
        <v>0.97028571428571431</v>
      </c>
      <c r="R31" s="361"/>
      <c r="S31" s="185">
        <v>2.89</v>
      </c>
      <c r="T31" s="189"/>
      <c r="U31" s="186">
        <v>54.387500000000003</v>
      </c>
      <c r="V31" s="186"/>
      <c r="W31" s="186">
        <v>0.51500000000000001</v>
      </c>
      <c r="X31" s="186">
        <v>0.69599999999999995</v>
      </c>
      <c r="Y31" s="186"/>
      <c r="Z31" s="186"/>
      <c r="AA31" s="186">
        <v>7.3819999999999997</v>
      </c>
      <c r="AB31" s="186">
        <v>64.724999999999994</v>
      </c>
      <c r="AC31" s="186"/>
      <c r="AD31" s="186"/>
      <c r="AE31" s="186">
        <v>2E-3</v>
      </c>
      <c r="AF31" s="186"/>
      <c r="AG31" s="186">
        <v>4.1923076923076924E-2</v>
      </c>
      <c r="AH31" s="186"/>
      <c r="AI31" s="186">
        <v>1.8049999999999999</v>
      </c>
      <c r="AJ31" s="186"/>
      <c r="AK31" s="186">
        <v>64.599999999999994</v>
      </c>
      <c r="AL31" s="186"/>
      <c r="AM31" s="186">
        <v>7.2</v>
      </c>
      <c r="AN31" s="186"/>
      <c r="AO31" s="186">
        <v>84.816666666666663</v>
      </c>
      <c r="AP31" s="186"/>
      <c r="AQ31" s="186"/>
      <c r="AR31" s="186"/>
      <c r="AS31" s="186"/>
      <c r="AT31" s="186"/>
      <c r="AU31" s="186">
        <v>8.0150000000000006</v>
      </c>
      <c r="AV31" s="186">
        <v>11.851000000000001</v>
      </c>
      <c r="AW31" s="196"/>
      <c r="AX31" s="194">
        <v>28.490000000000002</v>
      </c>
      <c r="AY31" s="194">
        <v>77.271999999999991</v>
      </c>
      <c r="AZ31" s="194">
        <v>214.36915323565324</v>
      </c>
      <c r="BA31">
        <f t="shared" si="0"/>
        <v>10.236614715186143</v>
      </c>
    </row>
    <row r="32" spans="1:53" ht="18" x14ac:dyDescent="0.35">
      <c r="A32" s="183">
        <v>29</v>
      </c>
      <c r="B32" s="195" t="s">
        <v>12</v>
      </c>
      <c r="C32" s="185">
        <v>0</v>
      </c>
      <c r="D32" s="185">
        <v>0</v>
      </c>
      <c r="E32" s="185">
        <v>0</v>
      </c>
      <c r="F32" s="185"/>
      <c r="G32" s="185">
        <v>0</v>
      </c>
      <c r="H32" s="185">
        <v>0</v>
      </c>
      <c r="I32" s="185">
        <v>0</v>
      </c>
      <c r="J32" s="185"/>
      <c r="K32" s="185">
        <v>0</v>
      </c>
      <c r="L32" s="185">
        <v>0</v>
      </c>
      <c r="M32" s="185">
        <v>0</v>
      </c>
      <c r="N32" s="185"/>
      <c r="O32" s="185">
        <v>0</v>
      </c>
      <c r="P32" s="185">
        <v>0</v>
      </c>
      <c r="Q32" s="185">
        <v>0</v>
      </c>
      <c r="R32" s="185"/>
      <c r="S32" s="185">
        <v>0</v>
      </c>
      <c r="T32" s="185">
        <v>0</v>
      </c>
      <c r="U32" s="185">
        <v>0</v>
      </c>
      <c r="V32" s="185"/>
      <c r="W32" s="185">
        <v>0</v>
      </c>
      <c r="X32" s="185">
        <v>0</v>
      </c>
      <c r="Y32" s="185">
        <v>0</v>
      </c>
      <c r="Z32" s="185"/>
      <c r="AA32" s="185">
        <v>0</v>
      </c>
      <c r="AB32" s="185">
        <v>0</v>
      </c>
      <c r="AC32" s="185">
        <v>0</v>
      </c>
      <c r="AD32" s="185"/>
      <c r="AE32" s="185">
        <v>0</v>
      </c>
      <c r="AF32" s="185">
        <v>0</v>
      </c>
      <c r="AG32" s="185">
        <v>0</v>
      </c>
      <c r="AH32" s="185"/>
      <c r="AI32" s="185">
        <v>0</v>
      </c>
      <c r="AJ32" s="185">
        <v>0</v>
      </c>
      <c r="AK32" s="185">
        <v>0</v>
      </c>
      <c r="AL32" s="185"/>
      <c r="AM32" s="185">
        <v>0</v>
      </c>
      <c r="AN32" s="185">
        <v>0</v>
      </c>
      <c r="AO32" s="185">
        <v>0</v>
      </c>
      <c r="AP32" s="185"/>
      <c r="AQ32" s="185">
        <v>0</v>
      </c>
      <c r="AR32" s="185">
        <v>0</v>
      </c>
      <c r="AS32" s="185">
        <v>0</v>
      </c>
      <c r="AT32" s="185"/>
      <c r="AU32" s="185">
        <v>0.82828000000000002</v>
      </c>
      <c r="AV32" s="185">
        <v>12.607999999999999</v>
      </c>
      <c r="AW32" s="185">
        <v>0.58899999999999997</v>
      </c>
      <c r="AX32" s="194">
        <v>0.82828000000000002</v>
      </c>
      <c r="AY32" s="194">
        <v>12.607999999999999</v>
      </c>
      <c r="AZ32" s="194">
        <v>0.58899999999999997</v>
      </c>
      <c r="BA32">
        <f t="shared" si="0"/>
        <v>15.933017820060847</v>
      </c>
    </row>
    <row r="33" spans="1:58" ht="18" x14ac:dyDescent="0.35">
      <c r="A33" s="215"/>
      <c r="B33" s="365" t="s">
        <v>72</v>
      </c>
      <c r="C33" s="366">
        <v>0.25513300000000005</v>
      </c>
      <c r="D33" s="366">
        <v>0.90900000000000003</v>
      </c>
      <c r="E33" s="366">
        <v>8.7764099999999985</v>
      </c>
      <c r="F33" s="366"/>
      <c r="G33" s="366">
        <v>0.44790200000000008</v>
      </c>
      <c r="H33" s="366">
        <v>1.3519999999999999</v>
      </c>
      <c r="I33" s="366">
        <v>16.874149047619049</v>
      </c>
      <c r="J33" s="366"/>
      <c r="K33" s="366">
        <v>22.092012</v>
      </c>
      <c r="L33" s="366">
        <v>521.25941999999998</v>
      </c>
      <c r="M33" s="366">
        <v>15.090555555555556</v>
      </c>
      <c r="N33" s="366"/>
      <c r="O33" s="366">
        <v>1.2997219999999998</v>
      </c>
      <c r="P33" s="366">
        <v>5.3629999999999995</v>
      </c>
      <c r="Q33" s="366">
        <v>45.007993722448987</v>
      </c>
      <c r="R33" s="366"/>
      <c r="S33" s="366">
        <v>10.637469999999999</v>
      </c>
      <c r="T33" s="366">
        <v>12.509</v>
      </c>
      <c r="U33" s="366">
        <v>124.95793750000001</v>
      </c>
      <c r="V33" s="366"/>
      <c r="W33" s="366">
        <v>22.965600000000002</v>
      </c>
      <c r="X33" s="366">
        <v>180.31700000000001</v>
      </c>
      <c r="Y33" s="366">
        <v>2.4899999999999998</v>
      </c>
      <c r="Z33" s="366"/>
      <c r="AA33" s="366">
        <v>72.739550000000008</v>
      </c>
      <c r="AB33" s="366">
        <v>810.83135000000004</v>
      </c>
      <c r="AC33" s="366">
        <v>19.089616666666668</v>
      </c>
      <c r="AD33" s="366"/>
      <c r="AE33" s="366">
        <v>0.84957000000000005</v>
      </c>
      <c r="AF33" s="366">
        <v>4.8759999999999994</v>
      </c>
      <c r="AG33" s="366">
        <v>9.6412174424720565</v>
      </c>
      <c r="AH33" s="366"/>
      <c r="AI33" s="366">
        <v>32.820131000000003</v>
      </c>
      <c r="AJ33" s="366">
        <v>181.71447999999998</v>
      </c>
      <c r="AK33" s="366">
        <v>200.93656627218934</v>
      </c>
      <c r="AL33" s="366"/>
      <c r="AM33" s="366">
        <v>20.321249999999999</v>
      </c>
      <c r="AN33" s="366">
        <v>129.851</v>
      </c>
      <c r="AO33" s="366">
        <v>96.287277777777774</v>
      </c>
      <c r="AP33" s="366"/>
      <c r="AQ33" s="366">
        <v>5.0400000000000002E-3</v>
      </c>
      <c r="AR33" s="366">
        <v>2.5999999999999999E-3</v>
      </c>
      <c r="AS33" s="366">
        <v>0.20705555555555558</v>
      </c>
      <c r="AT33" s="366"/>
      <c r="AU33" s="366">
        <v>118.77510799999997</v>
      </c>
      <c r="AV33" s="366">
        <v>414.2122</v>
      </c>
      <c r="AW33" s="366">
        <v>107.16906868827162</v>
      </c>
      <c r="AX33" s="366">
        <v>303.20848800000005</v>
      </c>
      <c r="AY33" s="366">
        <v>2263.1970500000002</v>
      </c>
      <c r="AZ33" s="366">
        <v>646.52784822855654</v>
      </c>
      <c r="BA33">
        <f t="shared" si="0"/>
        <v>9.5964493521321099</v>
      </c>
    </row>
    <row r="34" spans="1:58" x14ac:dyDescent="0.3">
      <c r="E34" s="354"/>
      <c r="F34" s="377">
        <f>(E33+D33)/C33</f>
        <v>37.962200107394956</v>
      </c>
      <c r="G34" s="354"/>
      <c r="H34" s="354"/>
      <c r="I34" s="354"/>
      <c r="J34" s="377">
        <f t="shared" ref="J34:BF34" si="1">(I33+H33)/G33</f>
        <v>40.692269843892291</v>
      </c>
      <c r="K34" s="354"/>
      <c r="L34" s="354"/>
      <c r="M34" s="354"/>
      <c r="N34" s="354">
        <f t="shared" si="1"/>
        <v>24.278004898583049</v>
      </c>
      <c r="O34" s="354"/>
      <c r="P34" s="354"/>
      <c r="Q34" s="354"/>
      <c r="R34" s="377">
        <f t="shared" si="1"/>
        <v>38.755205899760867</v>
      </c>
      <c r="S34" s="354"/>
      <c r="T34" s="354"/>
      <c r="U34" s="354"/>
      <c r="V34" s="377">
        <f t="shared" si="1"/>
        <v>12.922897784905626</v>
      </c>
      <c r="W34" s="354"/>
      <c r="X34" s="354"/>
      <c r="Y34" s="354"/>
      <c r="Z34" s="354">
        <f t="shared" si="1"/>
        <v>7.9600358797505839</v>
      </c>
      <c r="AA34" s="354"/>
      <c r="AB34" s="354"/>
      <c r="AC34" s="354"/>
      <c r="AD34" s="354">
        <f t="shared" si="1"/>
        <v>11.409487227604055</v>
      </c>
      <c r="AE34" s="354"/>
      <c r="AF34" s="354"/>
      <c r="AG34" s="354"/>
      <c r="AH34" s="354">
        <f t="shared" si="1"/>
        <v>17.087723721967649</v>
      </c>
      <c r="AI34" s="354"/>
      <c r="AJ34" s="354"/>
      <c r="AK34" s="354"/>
      <c r="AL34" s="354">
        <f t="shared" si="1"/>
        <v>11.659034702579014</v>
      </c>
      <c r="AM34" s="354"/>
      <c r="AN34" s="354"/>
      <c r="AO34" s="354"/>
      <c r="AP34" s="354">
        <f t="shared" si="1"/>
        <v>11.1281676952834</v>
      </c>
      <c r="AQ34" s="354"/>
      <c r="AR34" s="354"/>
      <c r="AS34" s="354"/>
      <c r="AT34" s="354">
        <f t="shared" si="1"/>
        <v>41.598324514991184</v>
      </c>
      <c r="AU34" s="354"/>
      <c r="AV34" s="354"/>
      <c r="AW34" s="354"/>
      <c r="AX34" s="354"/>
      <c r="AY34" s="354">
        <f t="shared" si="1"/>
        <v>0.99074232166090637</v>
      </c>
      <c r="AZ34" s="354">
        <f t="shared" si="1"/>
        <v>23.947259870896527</v>
      </c>
      <c r="BA34" s="354">
        <f t="shared" si="1"/>
        <v>9.5964493521321099</v>
      </c>
      <c r="BB34" s="354">
        <f t="shared" si="1"/>
        <v>0.28991037151656263</v>
      </c>
      <c r="BC34" s="354">
        <f t="shared" si="1"/>
        <v>1.4843056456772504E-2</v>
      </c>
      <c r="BD34" s="354">
        <f t="shared" si="1"/>
        <v>0</v>
      </c>
      <c r="BE34" s="354" t="e">
        <f t="shared" si="1"/>
        <v>#DIV/0!</v>
      </c>
      <c r="BF34" s="354" t="e">
        <f t="shared" si="1"/>
        <v>#DIV/0!</v>
      </c>
    </row>
  </sheetData>
  <mergeCells count="26">
    <mergeCell ref="AN2:AO2"/>
    <mergeCell ref="AR2:AS2"/>
    <mergeCell ref="AV2:AW2"/>
    <mergeCell ref="AY2:AZ2"/>
    <mergeCell ref="AX1:AZ1"/>
    <mergeCell ref="AM1:AO1"/>
    <mergeCell ref="AQ1:AS1"/>
    <mergeCell ref="AU1:AW1"/>
    <mergeCell ref="D2:E2"/>
    <mergeCell ref="H2:I2"/>
    <mergeCell ref="L2:M2"/>
    <mergeCell ref="P2:Q2"/>
    <mergeCell ref="T2:U2"/>
    <mergeCell ref="X2:Y2"/>
    <mergeCell ref="AB2:AC2"/>
    <mergeCell ref="AF2:AG2"/>
    <mergeCell ref="AJ2:AK2"/>
    <mergeCell ref="AA1:AC1"/>
    <mergeCell ref="AE1:AG1"/>
    <mergeCell ref="AI1:AK1"/>
    <mergeCell ref="W1:Y1"/>
    <mergeCell ref="C1:E1"/>
    <mergeCell ref="G1:I1"/>
    <mergeCell ref="K1:M1"/>
    <mergeCell ref="O1:Q1"/>
    <mergeCell ref="S1:U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4CB6-7F1C-4C6F-B32C-8DBEC372BF76}">
  <dimension ref="A1:BB34"/>
  <sheetViews>
    <sheetView topLeftCell="N19" workbookViewId="0">
      <selection activeCell="R34" sqref="R34"/>
    </sheetView>
  </sheetViews>
  <sheetFormatPr defaultRowHeight="14.4" x14ac:dyDescent="0.3"/>
  <cols>
    <col min="2" max="2" width="31.77734375" bestFit="1" customWidth="1"/>
  </cols>
  <sheetData>
    <row r="1" spans="1:53" ht="17.399999999999999" x14ac:dyDescent="0.3">
      <c r="A1" s="216" t="s">
        <v>75</v>
      </c>
      <c r="B1" s="217" t="s">
        <v>76</v>
      </c>
      <c r="C1" s="430" t="s">
        <v>1</v>
      </c>
      <c r="D1" s="430"/>
      <c r="E1" s="431"/>
      <c r="F1" s="320"/>
      <c r="G1" s="432" t="s">
        <v>2</v>
      </c>
      <c r="H1" s="430"/>
      <c r="I1" s="431"/>
      <c r="J1" s="320"/>
      <c r="K1" s="432" t="s">
        <v>3</v>
      </c>
      <c r="L1" s="430"/>
      <c r="M1" s="431"/>
      <c r="N1" s="320"/>
      <c r="O1" s="432" t="s">
        <v>4</v>
      </c>
      <c r="P1" s="430"/>
      <c r="Q1" s="431"/>
      <c r="R1" s="320"/>
      <c r="S1" s="432" t="s">
        <v>63</v>
      </c>
      <c r="T1" s="430"/>
      <c r="U1" s="431"/>
      <c r="V1" s="320"/>
      <c r="W1" s="432" t="s">
        <v>6</v>
      </c>
      <c r="X1" s="430"/>
      <c r="Y1" s="431"/>
      <c r="Z1" s="320"/>
      <c r="AA1" s="432" t="s">
        <v>77</v>
      </c>
      <c r="AB1" s="430"/>
      <c r="AC1" s="431"/>
      <c r="AD1" s="320"/>
      <c r="AE1" s="432" t="s">
        <v>78</v>
      </c>
      <c r="AF1" s="430"/>
      <c r="AG1" s="431"/>
      <c r="AH1" s="320"/>
      <c r="AI1" s="432" t="s">
        <v>9</v>
      </c>
      <c r="AJ1" s="430"/>
      <c r="AK1" s="431"/>
      <c r="AL1" s="320"/>
      <c r="AM1" s="432" t="s">
        <v>10</v>
      </c>
      <c r="AN1" s="430"/>
      <c r="AO1" s="431"/>
      <c r="AP1" s="320"/>
      <c r="AQ1" s="432" t="s">
        <v>11</v>
      </c>
      <c r="AR1" s="430"/>
      <c r="AS1" s="434"/>
      <c r="AT1" s="371"/>
      <c r="AU1" s="435" t="s">
        <v>79</v>
      </c>
      <c r="AV1" s="436"/>
      <c r="AW1" s="437"/>
      <c r="AX1" s="433" t="s">
        <v>53</v>
      </c>
      <c r="AY1" s="433"/>
      <c r="AZ1" s="433"/>
    </row>
    <row r="2" spans="1:53" ht="17.399999999999999" x14ac:dyDescent="0.3">
      <c r="A2" s="219"/>
      <c r="B2" s="220"/>
      <c r="C2" s="218" t="s">
        <v>14</v>
      </c>
      <c r="D2" s="432" t="s">
        <v>15</v>
      </c>
      <c r="E2" s="431"/>
      <c r="F2" s="218"/>
      <c r="G2" s="221" t="s">
        <v>14</v>
      </c>
      <c r="H2" s="432" t="s">
        <v>15</v>
      </c>
      <c r="I2" s="431"/>
      <c r="J2" s="218"/>
      <c r="K2" s="221" t="s">
        <v>14</v>
      </c>
      <c r="L2" s="432" t="s">
        <v>15</v>
      </c>
      <c r="M2" s="431"/>
      <c r="N2" s="218"/>
      <c r="O2" s="221" t="s">
        <v>14</v>
      </c>
      <c r="P2" s="432" t="s">
        <v>15</v>
      </c>
      <c r="Q2" s="431"/>
      <c r="R2" s="218"/>
      <c r="S2" s="221" t="s">
        <v>14</v>
      </c>
      <c r="T2" s="432" t="s">
        <v>15</v>
      </c>
      <c r="U2" s="431"/>
      <c r="V2" s="218"/>
      <c r="W2" s="221" t="s">
        <v>14</v>
      </c>
      <c r="X2" s="432" t="s">
        <v>15</v>
      </c>
      <c r="Y2" s="431"/>
      <c r="Z2" s="218"/>
      <c r="AA2" s="221" t="s">
        <v>14</v>
      </c>
      <c r="AB2" s="432" t="s">
        <v>15</v>
      </c>
      <c r="AC2" s="431"/>
      <c r="AD2" s="218"/>
      <c r="AE2" s="221" t="s">
        <v>14</v>
      </c>
      <c r="AF2" s="432" t="s">
        <v>15</v>
      </c>
      <c r="AG2" s="431"/>
      <c r="AH2" s="218"/>
      <c r="AI2" s="221" t="s">
        <v>14</v>
      </c>
      <c r="AJ2" s="432" t="s">
        <v>15</v>
      </c>
      <c r="AK2" s="431"/>
      <c r="AL2" s="218"/>
      <c r="AM2" s="221" t="s">
        <v>14</v>
      </c>
      <c r="AN2" s="432" t="s">
        <v>15</v>
      </c>
      <c r="AO2" s="431"/>
      <c r="AP2" s="218"/>
      <c r="AQ2" s="221" t="s">
        <v>14</v>
      </c>
      <c r="AR2" s="432" t="s">
        <v>15</v>
      </c>
      <c r="AS2" s="431"/>
      <c r="AT2" s="218"/>
      <c r="AU2" s="221" t="s">
        <v>14</v>
      </c>
      <c r="AV2" s="432" t="s">
        <v>15</v>
      </c>
      <c r="AW2" s="431"/>
      <c r="AX2" s="221" t="s">
        <v>14</v>
      </c>
      <c r="AY2" s="432" t="s">
        <v>15</v>
      </c>
      <c r="AZ2" s="431"/>
    </row>
    <row r="3" spans="1:53" ht="17.399999999999999" x14ac:dyDescent="0.3">
      <c r="A3" s="222"/>
      <c r="B3" s="220"/>
      <c r="C3" s="218"/>
      <c r="D3" s="221" t="s">
        <v>70</v>
      </c>
      <c r="E3" s="221" t="s">
        <v>71</v>
      </c>
      <c r="F3" s="221"/>
      <c r="G3" s="221"/>
      <c r="H3" s="221" t="s">
        <v>70</v>
      </c>
      <c r="I3" s="221" t="s">
        <v>71</v>
      </c>
      <c r="J3" s="221"/>
      <c r="K3" s="221"/>
      <c r="L3" s="221" t="s">
        <v>70</v>
      </c>
      <c r="M3" s="221" t="s">
        <v>71</v>
      </c>
      <c r="N3" s="221"/>
      <c r="O3" s="221"/>
      <c r="P3" s="221" t="s">
        <v>70</v>
      </c>
      <c r="Q3" s="221" t="s">
        <v>71</v>
      </c>
      <c r="R3" s="218"/>
      <c r="S3" s="218"/>
      <c r="T3" s="221" t="s">
        <v>70</v>
      </c>
      <c r="U3" s="221" t="s">
        <v>71</v>
      </c>
      <c r="V3" s="221"/>
      <c r="W3" s="221"/>
      <c r="X3" s="221" t="s">
        <v>70</v>
      </c>
      <c r="Y3" s="221" t="s">
        <v>71</v>
      </c>
      <c r="Z3" s="221"/>
      <c r="AA3" s="221"/>
      <c r="AB3" s="221" t="s">
        <v>70</v>
      </c>
      <c r="AC3" s="221" t="s">
        <v>71</v>
      </c>
      <c r="AD3" s="221"/>
      <c r="AE3" s="221"/>
      <c r="AF3" s="221" t="s">
        <v>70</v>
      </c>
      <c r="AG3" s="221" t="s">
        <v>71</v>
      </c>
      <c r="AH3" s="221"/>
      <c r="AI3" s="221"/>
      <c r="AJ3" s="221" t="s">
        <v>70</v>
      </c>
      <c r="AK3" s="221" t="s">
        <v>71</v>
      </c>
      <c r="AL3" s="221"/>
      <c r="AM3" s="221"/>
      <c r="AN3" s="221" t="s">
        <v>70</v>
      </c>
      <c r="AO3" s="221" t="s">
        <v>71</v>
      </c>
      <c r="AP3" s="221"/>
      <c r="AQ3" s="221"/>
      <c r="AR3" s="221" t="s">
        <v>70</v>
      </c>
      <c r="AS3" s="221" t="s">
        <v>71</v>
      </c>
      <c r="AT3" s="371"/>
      <c r="AU3" s="217"/>
      <c r="AV3" s="221" t="s">
        <v>70</v>
      </c>
      <c r="AW3" s="221" t="s">
        <v>71</v>
      </c>
      <c r="AX3" s="217"/>
      <c r="AY3" s="217" t="s">
        <v>70</v>
      </c>
      <c r="AZ3" s="217" t="s">
        <v>71</v>
      </c>
    </row>
    <row r="4" spans="1:53" ht="18" x14ac:dyDescent="0.35">
      <c r="A4" s="223">
        <v>1</v>
      </c>
      <c r="B4" s="224" t="s">
        <v>20</v>
      </c>
      <c r="C4" s="225"/>
      <c r="D4" s="226"/>
      <c r="E4" s="226"/>
      <c r="F4" s="226"/>
      <c r="G4" s="226"/>
      <c r="H4" s="226"/>
      <c r="I4" s="226"/>
      <c r="J4" s="226"/>
      <c r="K4" s="227">
        <v>7.2080000000000002</v>
      </c>
      <c r="L4" s="227">
        <v>345.99400000000003</v>
      </c>
      <c r="M4" s="226"/>
      <c r="N4" s="226"/>
      <c r="O4" s="226"/>
      <c r="P4" s="228"/>
      <c r="Q4" s="229"/>
      <c r="R4" s="369"/>
      <c r="S4" s="225"/>
      <c r="T4" s="230"/>
      <c r="U4" s="226"/>
      <c r="V4" s="226"/>
      <c r="W4" s="226">
        <v>3.6920000000000002</v>
      </c>
      <c r="X4" s="226">
        <v>22.152000000000001</v>
      </c>
      <c r="Y4" s="226"/>
      <c r="Z4" s="226"/>
      <c r="AA4" s="226">
        <v>8.3780000000000001</v>
      </c>
      <c r="AB4" s="226">
        <v>100.536</v>
      </c>
      <c r="AC4" s="226"/>
      <c r="AD4" s="226"/>
      <c r="AE4" s="226"/>
      <c r="AF4" s="226"/>
      <c r="AG4" s="226"/>
      <c r="AH4" s="226"/>
      <c r="AI4" s="226">
        <v>0.60499999999999998</v>
      </c>
      <c r="AJ4" s="226"/>
      <c r="AK4" s="226">
        <v>23.26923076923077</v>
      </c>
      <c r="AL4" s="226"/>
      <c r="AM4" s="226">
        <v>2.9529999999999998</v>
      </c>
      <c r="AN4" s="226">
        <v>26.577000000000002</v>
      </c>
      <c r="AO4" s="226"/>
      <c r="AP4" s="226"/>
      <c r="AQ4" s="226"/>
      <c r="AR4" s="226"/>
      <c r="AS4" s="226"/>
      <c r="AT4" s="231"/>
      <c r="AU4" s="231">
        <v>3.7969999999999997</v>
      </c>
      <c r="AV4" s="231">
        <v>27.009999999999998</v>
      </c>
      <c r="AW4" s="232"/>
      <c r="AX4" s="233">
        <v>26.632999999999999</v>
      </c>
      <c r="AY4" s="233">
        <v>522.26900000000001</v>
      </c>
      <c r="AZ4" s="233">
        <v>23.269230769230798</v>
      </c>
      <c r="BA4">
        <f>(AZ4+AY4)/AX4</f>
        <v>20.483544128308147</v>
      </c>
    </row>
    <row r="5" spans="1:53" ht="18" x14ac:dyDescent="0.35">
      <c r="A5" s="223">
        <v>2</v>
      </c>
      <c r="B5" s="234" t="s">
        <v>64</v>
      </c>
      <c r="C5" s="235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>
        <v>1E-3</v>
      </c>
      <c r="P5" s="236">
        <v>1E-3</v>
      </c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  <c r="AH5" s="236"/>
      <c r="AI5" s="236">
        <v>1E-3</v>
      </c>
      <c r="AJ5" s="236">
        <v>2E-3</v>
      </c>
      <c r="AK5" s="236"/>
      <c r="AL5" s="236"/>
      <c r="AM5" s="236"/>
      <c r="AN5" s="236"/>
      <c r="AO5" s="236"/>
      <c r="AP5" s="236"/>
      <c r="AQ5" s="236"/>
      <c r="AR5" s="236"/>
      <c r="AS5" s="236"/>
      <c r="AT5" s="236"/>
      <c r="AU5" s="236"/>
      <c r="AV5" s="236"/>
      <c r="AW5" s="236"/>
      <c r="AX5" s="233">
        <v>2E-3</v>
      </c>
      <c r="AY5" s="233">
        <v>3.0000000000000001E-3</v>
      </c>
      <c r="AZ5" s="233">
        <v>0</v>
      </c>
      <c r="BA5">
        <f t="shared" ref="BA5:BA32" si="0">(AZ5+AY5)/AX5</f>
        <v>1.5</v>
      </c>
    </row>
    <row r="6" spans="1:53" ht="18" x14ac:dyDescent="0.35">
      <c r="A6" s="223">
        <v>3</v>
      </c>
      <c r="B6" s="237" t="s">
        <v>22</v>
      </c>
      <c r="C6" s="225">
        <v>0.126</v>
      </c>
      <c r="D6" s="226">
        <v>0.86299999999999999</v>
      </c>
      <c r="E6" s="226">
        <v>1.1499999999999999</v>
      </c>
      <c r="F6" s="226"/>
      <c r="G6" s="226">
        <v>0.186</v>
      </c>
      <c r="H6" s="226">
        <v>1.2629999999999999</v>
      </c>
      <c r="I6" s="226">
        <v>1.4619047619047618</v>
      </c>
      <c r="J6" s="226"/>
      <c r="K6" s="226">
        <v>0.246</v>
      </c>
      <c r="L6" s="226">
        <v>1.7170000000000001</v>
      </c>
      <c r="M6" s="226">
        <v>2.2833333333333332</v>
      </c>
      <c r="N6" s="226"/>
      <c r="O6" s="226">
        <v>0.748</v>
      </c>
      <c r="P6" s="228">
        <v>5.2560000000000002</v>
      </c>
      <c r="Q6" s="229">
        <v>6.765714285714286</v>
      </c>
      <c r="R6" s="369"/>
      <c r="S6" s="225">
        <v>0.42599999999999999</v>
      </c>
      <c r="T6" s="230">
        <v>2.851</v>
      </c>
      <c r="U6" s="226">
        <v>8.9625000000000004</v>
      </c>
      <c r="V6" s="226"/>
      <c r="W6" s="226">
        <v>0.26600000000000001</v>
      </c>
      <c r="X6" s="226">
        <v>1.788</v>
      </c>
      <c r="Y6" s="226">
        <v>2.4777777777777779</v>
      </c>
      <c r="Z6" s="226"/>
      <c r="AA6" s="226">
        <v>0.60599999999999998</v>
      </c>
      <c r="AB6" s="226">
        <v>4.0380000000000003</v>
      </c>
      <c r="AC6" s="226">
        <v>5.7055555555555557</v>
      </c>
      <c r="AD6" s="226"/>
      <c r="AE6" s="226">
        <v>0.72699999999999998</v>
      </c>
      <c r="AF6" s="226">
        <v>4.827</v>
      </c>
      <c r="AG6" s="226">
        <v>9.6</v>
      </c>
      <c r="AH6" s="226"/>
      <c r="AI6" s="226">
        <v>0.40100000000000002</v>
      </c>
      <c r="AJ6" s="226">
        <v>2.7160000000000002</v>
      </c>
      <c r="AK6" s="226">
        <v>5.3230769230769228</v>
      </c>
      <c r="AL6" s="226"/>
      <c r="AM6" s="226">
        <v>0.34100000000000003</v>
      </c>
      <c r="AN6" s="226">
        <v>2.2890000000000001</v>
      </c>
      <c r="AO6" s="226">
        <v>3.25</v>
      </c>
      <c r="AP6" s="226"/>
      <c r="AQ6" s="226"/>
      <c r="AR6" s="226"/>
      <c r="AS6" s="226"/>
      <c r="AT6" s="226"/>
      <c r="AU6" s="226">
        <v>0.96399999999999997</v>
      </c>
      <c r="AV6" s="226">
        <v>6.2679999999999998</v>
      </c>
      <c r="AW6" s="238">
        <v>8.5222222222222221</v>
      </c>
      <c r="AX6" s="233">
        <v>5.0370000000000008</v>
      </c>
      <c r="AY6" s="233">
        <v>33.876000000000005</v>
      </c>
      <c r="AZ6" s="233">
        <v>55.502084859584855</v>
      </c>
      <c r="BA6">
        <f t="shared" si="0"/>
        <v>17.744309084690261</v>
      </c>
    </row>
    <row r="7" spans="1:53" ht="18" x14ac:dyDescent="0.35">
      <c r="A7" s="223">
        <v>4</v>
      </c>
      <c r="B7" s="237" t="s">
        <v>23</v>
      </c>
      <c r="C7" s="235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>
        <v>0</v>
      </c>
      <c r="P7" s="236">
        <v>1E-3</v>
      </c>
      <c r="Q7" s="236"/>
      <c r="R7" s="236"/>
      <c r="S7" s="236"/>
      <c r="T7" s="236"/>
      <c r="U7" s="236"/>
      <c r="V7" s="236"/>
      <c r="W7" s="236">
        <v>4.0000000000000001E-3</v>
      </c>
      <c r="X7" s="236">
        <v>1.2999999999999999E-2</v>
      </c>
      <c r="Y7" s="236"/>
      <c r="Z7" s="236"/>
      <c r="AA7" s="236">
        <v>0.84399999999999997</v>
      </c>
      <c r="AB7" s="236">
        <v>7.3040000000000003</v>
      </c>
      <c r="AC7" s="236"/>
      <c r="AD7" s="236"/>
      <c r="AE7" s="236"/>
      <c r="AF7" s="236"/>
      <c r="AG7" s="236"/>
      <c r="AH7" s="236"/>
      <c r="AI7" s="236">
        <v>8.0000000000000002E-3</v>
      </c>
      <c r="AJ7" s="236"/>
      <c r="AK7" s="236">
        <v>7.6923076923076927E-2</v>
      </c>
      <c r="AL7" s="236"/>
      <c r="AM7" s="236">
        <v>1E-3</v>
      </c>
      <c r="AN7" s="236"/>
      <c r="AO7" s="236">
        <v>2.7777777777777776E-2</v>
      </c>
      <c r="AP7" s="236"/>
      <c r="AQ7" s="236">
        <v>2E-3</v>
      </c>
      <c r="AR7" s="236">
        <v>1E-3</v>
      </c>
      <c r="AS7" s="236"/>
      <c r="AT7" s="236"/>
      <c r="AU7" s="236">
        <v>3.0000000000000001E-3</v>
      </c>
      <c r="AV7" s="236">
        <v>1.6E-2</v>
      </c>
      <c r="AW7" s="236"/>
      <c r="AX7" s="233">
        <v>0.86199999999999999</v>
      </c>
      <c r="AY7" s="233">
        <v>7.3350000000000009</v>
      </c>
      <c r="AZ7" s="233">
        <v>0.1047008547008547</v>
      </c>
      <c r="BA7">
        <f t="shared" si="0"/>
        <v>8.6307434509290673</v>
      </c>
    </row>
    <row r="8" spans="1:53" ht="18" x14ac:dyDescent="0.35">
      <c r="A8" s="223">
        <v>5</v>
      </c>
      <c r="B8" s="237" t="s">
        <v>57</v>
      </c>
      <c r="C8" s="225"/>
      <c r="D8" s="226"/>
      <c r="E8" s="226"/>
      <c r="F8" s="226"/>
      <c r="G8" s="226"/>
      <c r="H8" s="226"/>
      <c r="I8" s="226"/>
      <c r="J8" s="226"/>
      <c r="K8" s="226">
        <v>0.35</v>
      </c>
      <c r="L8" s="226">
        <v>0.93600000000000005</v>
      </c>
      <c r="M8" s="226"/>
      <c r="N8" s="226"/>
      <c r="O8" s="226"/>
      <c r="P8" s="228"/>
      <c r="Q8" s="229"/>
      <c r="R8" s="229"/>
      <c r="S8" s="238">
        <v>2.4510000000000001</v>
      </c>
      <c r="T8" s="236"/>
      <c r="U8" s="229">
        <v>1.9624999999999999</v>
      </c>
      <c r="V8" s="369"/>
      <c r="W8" s="225">
        <v>1.9E-2</v>
      </c>
      <c r="X8" s="226">
        <v>2.8000000000000001E-2</v>
      </c>
      <c r="Y8" s="226"/>
      <c r="Z8" s="226"/>
      <c r="AA8" s="226">
        <v>5.7960000000000003</v>
      </c>
      <c r="AB8" s="226">
        <v>45.326000000000001</v>
      </c>
      <c r="AC8" s="226">
        <v>1.6666666666666666E-2</v>
      </c>
      <c r="AD8" s="226"/>
      <c r="AE8" s="226"/>
      <c r="AF8" s="226"/>
      <c r="AG8" s="226"/>
      <c r="AH8" s="226"/>
      <c r="AI8" s="226">
        <v>1.2370000000000001</v>
      </c>
      <c r="AJ8" s="226"/>
      <c r="AK8" s="226">
        <v>0.30769230769230771</v>
      </c>
      <c r="AL8" s="226"/>
      <c r="AM8" s="226">
        <v>1.528</v>
      </c>
      <c r="AN8" s="226">
        <v>6.45</v>
      </c>
      <c r="AO8" s="226">
        <v>5.5555555555555558E-3</v>
      </c>
      <c r="AP8" s="226"/>
      <c r="AQ8" s="226"/>
      <c r="AR8" s="226"/>
      <c r="AS8" s="226"/>
      <c r="AT8" s="226"/>
      <c r="AU8" s="226">
        <v>2.6749999999999998</v>
      </c>
      <c r="AV8" s="226">
        <v>8.3960000000000008</v>
      </c>
      <c r="AW8" s="238"/>
      <c r="AX8" s="233">
        <v>14.056000000000001</v>
      </c>
      <c r="AY8" s="233">
        <v>61.136000000000003</v>
      </c>
      <c r="AZ8" s="233">
        <v>2.29241452991453</v>
      </c>
      <c r="BA8">
        <f t="shared" si="0"/>
        <v>4.5125508345129859</v>
      </c>
    </row>
    <row r="9" spans="1:53" ht="18" x14ac:dyDescent="0.35">
      <c r="A9" s="223">
        <v>6</v>
      </c>
      <c r="B9" s="237" t="s">
        <v>29</v>
      </c>
      <c r="C9" s="225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8"/>
      <c r="Q9" s="229"/>
      <c r="R9" s="369"/>
      <c r="S9" s="239"/>
      <c r="T9" s="240"/>
      <c r="U9" s="231"/>
      <c r="V9" s="231"/>
      <c r="W9" s="226">
        <v>0.86599999999999999</v>
      </c>
      <c r="X9" s="226">
        <v>7.7789999999999999</v>
      </c>
      <c r="Y9" s="226"/>
      <c r="Z9" s="226"/>
      <c r="AA9" s="226">
        <v>9.0250000000000004</v>
      </c>
      <c r="AB9" s="226">
        <v>87.302000000000007</v>
      </c>
      <c r="AC9" s="226"/>
      <c r="AD9" s="226"/>
      <c r="AE9" s="226"/>
      <c r="AF9" s="226"/>
      <c r="AG9" s="226"/>
      <c r="AH9" s="226"/>
      <c r="AI9" s="226">
        <v>4.1609999999999996</v>
      </c>
      <c r="AJ9" s="226">
        <v>39.048999999999999</v>
      </c>
      <c r="AK9" s="226"/>
      <c r="AL9" s="226"/>
      <c r="AM9" s="226"/>
      <c r="AN9" s="226"/>
      <c r="AO9" s="226"/>
      <c r="AP9" s="226"/>
      <c r="AQ9" s="226"/>
      <c r="AR9" s="226"/>
      <c r="AS9" s="226"/>
      <c r="AT9" s="226"/>
      <c r="AU9" s="226">
        <v>6.3260000000000005</v>
      </c>
      <c r="AV9" s="226">
        <v>61.861000000000004</v>
      </c>
      <c r="AW9" s="238"/>
      <c r="AX9" s="233">
        <v>20.378</v>
      </c>
      <c r="AY9" s="233">
        <v>195.99099999999999</v>
      </c>
      <c r="AZ9" s="233">
        <v>0</v>
      </c>
      <c r="BA9">
        <f t="shared" si="0"/>
        <v>9.6177740700755709</v>
      </c>
    </row>
    <row r="10" spans="1:53" ht="18" x14ac:dyDescent="0.35">
      <c r="A10" s="223">
        <v>7</v>
      </c>
      <c r="B10" s="237" t="s">
        <v>30</v>
      </c>
      <c r="C10" s="225"/>
      <c r="D10" s="226"/>
      <c r="E10" s="226"/>
      <c r="F10" s="226"/>
      <c r="G10" s="226"/>
      <c r="H10" s="226"/>
      <c r="I10" s="226"/>
      <c r="J10" s="226"/>
      <c r="K10" s="226">
        <v>3.1E-2</v>
      </c>
      <c r="L10" s="226">
        <v>0.02</v>
      </c>
      <c r="M10" s="226">
        <v>2.8333333333333335E-3</v>
      </c>
      <c r="N10" s="226"/>
      <c r="O10" s="226">
        <v>6.0000000000000001E-3</v>
      </c>
      <c r="P10" s="228"/>
      <c r="Q10" s="229">
        <v>0.24651428571428571</v>
      </c>
      <c r="R10" s="369"/>
      <c r="S10" s="225">
        <v>7.0000000000000007E-2</v>
      </c>
      <c r="T10" s="230"/>
      <c r="U10" s="226">
        <v>0.80287500000000001</v>
      </c>
      <c r="V10" s="226"/>
      <c r="W10" s="226"/>
      <c r="X10" s="226"/>
      <c r="Y10" s="226"/>
      <c r="Z10" s="226"/>
      <c r="AA10" s="226">
        <v>2.867</v>
      </c>
      <c r="AB10" s="226">
        <v>37.463000000000001</v>
      </c>
      <c r="AC10" s="226"/>
      <c r="AD10" s="226"/>
      <c r="AE10" s="226"/>
      <c r="AF10" s="226"/>
      <c r="AG10" s="226"/>
      <c r="AH10" s="226"/>
      <c r="AI10" s="226">
        <v>0.21299999999999999</v>
      </c>
      <c r="AJ10" s="226">
        <v>1.23</v>
      </c>
      <c r="AK10" s="226">
        <v>0.17853846153846153</v>
      </c>
      <c r="AL10" s="226"/>
      <c r="AM10" s="226">
        <v>0.22</v>
      </c>
      <c r="AN10" s="226"/>
      <c r="AO10" s="226">
        <v>0.25016666666666665</v>
      </c>
      <c r="AP10" s="226"/>
      <c r="AQ10" s="226"/>
      <c r="AR10" s="226"/>
      <c r="AS10" s="226"/>
      <c r="AT10" s="226"/>
      <c r="AU10" s="226">
        <v>7.0999999999999994E-2</v>
      </c>
      <c r="AV10" s="226">
        <v>0.28699999999999998</v>
      </c>
      <c r="AW10" s="238">
        <v>0.45300000000000001</v>
      </c>
      <c r="AX10" s="233">
        <v>3.4780000000000006</v>
      </c>
      <c r="AY10" s="233">
        <v>39</v>
      </c>
      <c r="AZ10" s="233">
        <v>1.9339277472527472</v>
      </c>
      <c r="BA10">
        <f t="shared" si="0"/>
        <v>11.769386931355013</v>
      </c>
    </row>
    <row r="11" spans="1:53" ht="18" x14ac:dyDescent="0.35">
      <c r="A11" s="223">
        <v>8</v>
      </c>
      <c r="B11" s="237" t="s">
        <v>31</v>
      </c>
      <c r="C11" s="225"/>
      <c r="D11" s="226"/>
      <c r="E11" s="226"/>
      <c r="F11" s="226"/>
      <c r="G11" s="226">
        <v>0.105</v>
      </c>
      <c r="H11" s="226"/>
      <c r="I11" s="226">
        <v>4.852380952380952</v>
      </c>
      <c r="J11" s="226"/>
      <c r="K11" s="226">
        <v>0.183</v>
      </c>
      <c r="L11" s="226">
        <v>2.7429999999999999</v>
      </c>
      <c r="M11" s="226">
        <v>2.0388888888888888</v>
      </c>
      <c r="N11" s="226"/>
      <c r="O11" s="226">
        <v>8.0000000000000002E-3</v>
      </c>
      <c r="P11" s="228"/>
      <c r="Q11" s="229">
        <v>0.51428571428571423</v>
      </c>
      <c r="R11" s="369"/>
      <c r="S11" s="225">
        <v>3.9E-2</v>
      </c>
      <c r="T11" s="230"/>
      <c r="U11" s="226">
        <v>0.9375</v>
      </c>
      <c r="V11" s="226"/>
      <c r="W11" s="226"/>
      <c r="X11" s="226"/>
      <c r="Y11" s="226"/>
      <c r="Z11" s="226"/>
      <c r="AA11" s="226">
        <v>0.13900000000000001</v>
      </c>
      <c r="AB11" s="226">
        <v>2.0880000000000001</v>
      </c>
      <c r="AC11" s="226"/>
      <c r="AD11" s="226"/>
      <c r="AE11" s="226"/>
      <c r="AF11" s="226"/>
      <c r="AG11" s="226"/>
      <c r="AH11" s="226"/>
      <c r="AI11" s="226">
        <v>5.2999999999999999E-2</v>
      </c>
      <c r="AJ11" s="226">
        <v>3.5000000000000003E-2</v>
      </c>
      <c r="AK11" s="226">
        <v>2.953846153846154</v>
      </c>
      <c r="AL11" s="226"/>
      <c r="AM11" s="226"/>
      <c r="AN11" s="226"/>
      <c r="AO11" s="226"/>
      <c r="AP11" s="226"/>
      <c r="AQ11" s="226"/>
      <c r="AR11" s="226"/>
      <c r="AS11" s="226"/>
      <c r="AT11" s="226"/>
      <c r="AU11" s="226">
        <v>0.10199999999999999</v>
      </c>
      <c r="AV11" s="226">
        <v>1E-3</v>
      </c>
      <c r="AW11" s="238">
        <v>0.45555555555555555</v>
      </c>
      <c r="AX11" s="233">
        <v>0.629</v>
      </c>
      <c r="AY11" s="233">
        <v>4.867</v>
      </c>
      <c r="AZ11" s="233">
        <v>11.752457264957265</v>
      </c>
      <c r="BA11">
        <f t="shared" si="0"/>
        <v>26.422030627912982</v>
      </c>
    </row>
    <row r="12" spans="1:53" ht="18" x14ac:dyDescent="0.35">
      <c r="A12" s="223">
        <v>9</v>
      </c>
      <c r="B12" s="237" t="s">
        <v>32</v>
      </c>
      <c r="C12" s="225">
        <v>2.7999999999999998E-4</v>
      </c>
      <c r="D12" s="226"/>
      <c r="E12" s="226">
        <v>5.5555555555555556E-4</v>
      </c>
      <c r="F12" s="226"/>
      <c r="G12" s="226">
        <v>2.3425E-3</v>
      </c>
      <c r="H12" s="226"/>
      <c r="I12" s="226">
        <v>7.5785714285714276E-2</v>
      </c>
      <c r="J12" s="226"/>
      <c r="K12" s="226">
        <v>2.1941E-3</v>
      </c>
      <c r="L12" s="226">
        <v>1.8094000000000001E-3</v>
      </c>
      <c r="M12" s="226">
        <v>8.2555555555555559E-3</v>
      </c>
      <c r="N12" s="226"/>
      <c r="O12" s="226">
        <v>1.3945000000000001E-2</v>
      </c>
      <c r="P12" s="228"/>
      <c r="Q12" s="229">
        <v>9.4228571428571425E-2</v>
      </c>
      <c r="R12" s="369"/>
      <c r="S12" s="225">
        <v>1.5310799999999999E-2</v>
      </c>
      <c r="T12" s="230"/>
      <c r="U12" s="226">
        <v>4.7975000000000004E-2</v>
      </c>
      <c r="V12" s="226"/>
      <c r="W12" s="226">
        <v>1.5499999999999999E-3</v>
      </c>
      <c r="X12" s="226"/>
      <c r="Y12" s="226">
        <v>6.222222222222222E-2</v>
      </c>
      <c r="Z12" s="226"/>
      <c r="AA12" s="226">
        <v>1.62045E-2</v>
      </c>
      <c r="AB12" s="226">
        <v>6.4625500000000002E-2</v>
      </c>
      <c r="AC12" s="226">
        <v>4.1111111111111112E-4</v>
      </c>
      <c r="AD12" s="226"/>
      <c r="AE12" s="226">
        <v>5.0000000000000001E-4</v>
      </c>
      <c r="AF12" s="226">
        <v>1.1199999999999999E-3</v>
      </c>
      <c r="AG12" s="226"/>
      <c r="AH12" s="226"/>
      <c r="AI12" s="226">
        <v>1.0728E-2</v>
      </c>
      <c r="AJ12" s="226">
        <v>2.3706000000000001E-2</v>
      </c>
      <c r="AK12" s="226">
        <v>0.23571538461538463</v>
      </c>
      <c r="AL12" s="226"/>
      <c r="AM12" s="226">
        <v>6.7500000000000004E-4</v>
      </c>
      <c r="AN12" s="226">
        <v>1.6000000000000001E-3</v>
      </c>
      <c r="AO12" s="226">
        <v>5.5555555555555558E-5</v>
      </c>
      <c r="AP12" s="226"/>
      <c r="AQ12" s="226">
        <v>2.162E-2</v>
      </c>
      <c r="AR12" s="226"/>
      <c r="AS12" s="226">
        <v>7.7312777777777772E-2</v>
      </c>
      <c r="AT12" s="226"/>
      <c r="AU12" s="226">
        <v>4.9503399999999996E-2</v>
      </c>
      <c r="AV12" s="226">
        <v>8.41002E-2</v>
      </c>
      <c r="AW12" s="238">
        <v>9.6330833333333324E-2</v>
      </c>
      <c r="AX12" s="233">
        <v>0.13485330000000001</v>
      </c>
      <c r="AY12" s="233">
        <v>0.17696110000000001</v>
      </c>
      <c r="AZ12" s="233">
        <v>0.69884828144078148</v>
      </c>
      <c r="BA12">
        <f t="shared" si="0"/>
        <v>6.494534293493607</v>
      </c>
    </row>
    <row r="13" spans="1:53" ht="18" x14ac:dyDescent="0.35">
      <c r="A13" s="223">
        <v>10</v>
      </c>
      <c r="B13" s="237" t="s">
        <v>33</v>
      </c>
      <c r="C13" s="225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8"/>
      <c r="Q13" s="229"/>
      <c r="R13" s="369"/>
      <c r="S13" s="225"/>
      <c r="T13" s="230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>
        <v>1.05</v>
      </c>
      <c r="AV13" s="226">
        <v>4.63</v>
      </c>
      <c r="AW13" s="238">
        <v>4.2388888888888889</v>
      </c>
      <c r="AX13" s="233">
        <v>1.05</v>
      </c>
      <c r="AY13" s="233">
        <v>4.63</v>
      </c>
      <c r="AZ13" s="233">
        <v>4.2388888888888889</v>
      </c>
      <c r="BA13">
        <f t="shared" si="0"/>
        <v>8.4465608465608462</v>
      </c>
    </row>
    <row r="14" spans="1:53" ht="18" x14ac:dyDescent="0.35">
      <c r="A14" s="223">
        <v>11</v>
      </c>
      <c r="B14" s="237" t="s">
        <v>34</v>
      </c>
      <c r="C14" s="225">
        <v>1.0999999999999999E-2</v>
      </c>
      <c r="D14" s="226"/>
      <c r="E14" s="226">
        <v>0.25</v>
      </c>
      <c r="F14" s="226"/>
      <c r="G14" s="226">
        <v>0.03</v>
      </c>
      <c r="H14" s="226"/>
      <c r="I14" s="226">
        <v>0.62857142857142856</v>
      </c>
      <c r="J14" s="226"/>
      <c r="K14" s="226">
        <v>8.6180000000000003</v>
      </c>
      <c r="L14" s="226">
        <v>98.497</v>
      </c>
      <c r="M14" s="226"/>
      <c r="N14" s="226"/>
      <c r="O14" s="226">
        <v>9.9000000000000005E-2</v>
      </c>
      <c r="P14" s="228"/>
      <c r="Q14" s="229">
        <v>1.7428571428571429</v>
      </c>
      <c r="R14" s="369"/>
      <c r="S14" s="225">
        <v>0.19500000000000001</v>
      </c>
      <c r="T14" s="230"/>
      <c r="U14" s="226">
        <v>6.0374999999999996</v>
      </c>
      <c r="V14" s="226"/>
      <c r="W14" s="226">
        <v>2.9849999999999999</v>
      </c>
      <c r="X14" s="226">
        <v>20.05</v>
      </c>
      <c r="Y14" s="226"/>
      <c r="Z14" s="226"/>
      <c r="AA14" s="226">
        <v>12.706</v>
      </c>
      <c r="AB14" s="226">
        <v>113.788</v>
      </c>
      <c r="AC14" s="226"/>
      <c r="AD14" s="226"/>
      <c r="AE14" s="226">
        <v>1.6E-2</v>
      </c>
      <c r="AF14" s="226"/>
      <c r="AG14" s="226">
        <v>3.0769230769230771E-2</v>
      </c>
      <c r="AH14" s="226"/>
      <c r="AI14" s="226">
        <v>5.3019999999999996</v>
      </c>
      <c r="AJ14" s="241">
        <v>0.80400000000000005</v>
      </c>
      <c r="AK14" s="241">
        <v>154.96923076923076</v>
      </c>
      <c r="AL14" s="241"/>
      <c r="AM14" s="241">
        <v>1.8180000000000001</v>
      </c>
      <c r="AN14" s="241">
        <v>13.608000000000001</v>
      </c>
      <c r="AO14" s="241"/>
      <c r="AP14" s="241"/>
      <c r="AQ14" s="241"/>
      <c r="AR14" s="241"/>
      <c r="AS14" s="241"/>
      <c r="AT14" s="241"/>
      <c r="AU14" s="241">
        <v>2.528</v>
      </c>
      <c r="AV14" s="241">
        <v>12.143000000000001</v>
      </c>
      <c r="AW14" s="242"/>
      <c r="AX14" s="233">
        <v>34.308</v>
      </c>
      <c r="AY14" s="233">
        <v>258.89</v>
      </c>
      <c r="AZ14" s="233">
        <v>163.65892857142856</v>
      </c>
      <c r="BA14">
        <f t="shared" si="0"/>
        <v>12.316338130215359</v>
      </c>
    </row>
    <row r="15" spans="1:53" ht="18" x14ac:dyDescent="0.35">
      <c r="A15" s="223">
        <v>12</v>
      </c>
      <c r="B15" s="237" t="s">
        <v>35</v>
      </c>
      <c r="C15" s="225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8"/>
      <c r="Q15" s="229"/>
      <c r="R15" s="369"/>
      <c r="S15" s="225"/>
      <c r="T15" s="230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8"/>
      <c r="AI15" s="22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>
        <v>53.260000000000005</v>
      </c>
      <c r="AV15" s="238">
        <v>7.6999999999999999E-2</v>
      </c>
      <c r="AW15" s="238">
        <v>44.840277777777779</v>
      </c>
      <c r="AX15" s="233">
        <v>53.260000000000005</v>
      </c>
      <c r="AY15" s="233">
        <v>7.6999999999999999E-2</v>
      </c>
      <c r="AZ15" s="233">
        <v>44.840277777777779</v>
      </c>
      <c r="BA15">
        <f t="shared" si="0"/>
        <v>0.84335857637584999</v>
      </c>
    </row>
    <row r="16" spans="1:53" ht="18" x14ac:dyDescent="0.35">
      <c r="A16" s="223">
        <v>13</v>
      </c>
      <c r="B16" s="237" t="s">
        <v>37</v>
      </c>
      <c r="C16" s="225"/>
      <c r="D16" s="226"/>
      <c r="E16" s="226"/>
      <c r="F16" s="226"/>
      <c r="G16" s="226"/>
      <c r="H16" s="226"/>
      <c r="I16" s="226"/>
      <c r="J16" s="226"/>
      <c r="K16" s="226">
        <v>1.2281500000000001</v>
      </c>
      <c r="L16" s="226">
        <v>15.31762</v>
      </c>
      <c r="M16" s="226"/>
      <c r="N16" s="226"/>
      <c r="O16" s="226"/>
      <c r="P16" s="228"/>
      <c r="Q16" s="229"/>
      <c r="R16" s="369"/>
      <c r="S16" s="225">
        <v>0.86812</v>
      </c>
      <c r="T16" s="230">
        <v>7.4184799999999997</v>
      </c>
      <c r="U16" s="226"/>
      <c r="V16" s="226"/>
      <c r="W16" s="226"/>
      <c r="X16" s="226"/>
      <c r="Y16" s="226"/>
      <c r="Z16" s="226"/>
      <c r="AA16" s="226">
        <v>19.586220000000001</v>
      </c>
      <c r="AB16" s="226">
        <v>256.44335000000001</v>
      </c>
      <c r="AC16" s="226"/>
      <c r="AD16" s="226"/>
      <c r="AE16" s="226"/>
      <c r="AF16" s="226"/>
      <c r="AG16" s="226"/>
      <c r="AH16" s="228"/>
      <c r="AI16" s="228">
        <v>3.6455000000000002</v>
      </c>
      <c r="AJ16" s="232">
        <v>35.634889999999999</v>
      </c>
      <c r="AK16" s="232"/>
      <c r="AL16" s="232"/>
      <c r="AM16" s="232">
        <v>0.23605000000000001</v>
      </c>
      <c r="AN16" s="232">
        <v>2.7932199999999998</v>
      </c>
      <c r="AO16" s="232"/>
      <c r="AP16" s="232"/>
      <c r="AQ16" s="232"/>
      <c r="AR16" s="232"/>
      <c r="AS16" s="239"/>
      <c r="AT16" s="239"/>
      <c r="AU16" s="231">
        <v>7.0722300000000002</v>
      </c>
      <c r="AV16" s="231">
        <v>68.286730000000006</v>
      </c>
      <c r="AW16" s="232"/>
      <c r="AX16" s="233">
        <v>32.636269999999996</v>
      </c>
      <c r="AY16" s="233">
        <v>385.89429000000007</v>
      </c>
      <c r="AZ16" s="233">
        <v>0</v>
      </c>
      <c r="BA16">
        <f t="shared" si="0"/>
        <v>11.824092949347463</v>
      </c>
    </row>
    <row r="17" spans="1:53" ht="18" x14ac:dyDescent="0.35">
      <c r="A17" s="223">
        <v>14</v>
      </c>
      <c r="B17" s="237" t="s">
        <v>38</v>
      </c>
      <c r="C17" s="235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43"/>
      <c r="AK17" s="243"/>
      <c r="AL17" s="243"/>
      <c r="AM17" s="243"/>
      <c r="AN17" s="243"/>
      <c r="AO17" s="243"/>
      <c r="AP17" s="243"/>
      <c r="AQ17" s="243"/>
      <c r="AR17" s="243"/>
      <c r="AS17" s="236"/>
      <c r="AT17" s="236"/>
      <c r="AU17" s="236">
        <v>13.443</v>
      </c>
      <c r="AV17" s="236">
        <v>71.635000000000005</v>
      </c>
      <c r="AW17" s="236">
        <v>0.81566111111111106</v>
      </c>
      <c r="AX17" s="233">
        <v>13.443</v>
      </c>
      <c r="AY17" s="233">
        <v>71.635000000000005</v>
      </c>
      <c r="AZ17" s="233">
        <v>0.81566111111111106</v>
      </c>
      <c r="BA17">
        <f t="shared" si="0"/>
        <v>5.3894711828543569</v>
      </c>
    </row>
    <row r="18" spans="1:53" ht="18" x14ac:dyDescent="0.35">
      <c r="A18" s="223">
        <v>15</v>
      </c>
      <c r="B18" s="244" t="s">
        <v>39</v>
      </c>
      <c r="C18" s="225"/>
      <c r="D18" s="226"/>
      <c r="E18" s="226"/>
      <c r="F18" s="226"/>
      <c r="G18" s="226"/>
      <c r="H18" s="226"/>
      <c r="I18" s="226"/>
      <c r="J18" s="226"/>
      <c r="K18" s="226"/>
      <c r="L18" s="226"/>
      <c r="M18" s="226"/>
      <c r="N18" s="226"/>
      <c r="O18" s="226">
        <v>5.0000000000000001E-3</v>
      </c>
      <c r="P18" s="228"/>
      <c r="Q18" s="229">
        <v>8.1028571428571426E-3</v>
      </c>
      <c r="R18" s="369"/>
      <c r="S18" s="225">
        <v>7.4999999999999997E-3</v>
      </c>
      <c r="T18" s="230"/>
      <c r="U18" s="226">
        <v>2.3531428571428575E-2</v>
      </c>
      <c r="V18" s="226"/>
      <c r="W18" s="226"/>
      <c r="X18" s="226"/>
      <c r="Y18" s="226"/>
      <c r="Z18" s="226"/>
      <c r="AA18" s="226">
        <v>2.1999999999999999E-2</v>
      </c>
      <c r="AB18" s="226">
        <v>2.1999999999999997E-3</v>
      </c>
      <c r="AC18" s="226"/>
      <c r="AD18" s="226"/>
      <c r="AE18" s="226"/>
      <c r="AF18" s="226"/>
      <c r="AG18" s="226"/>
      <c r="AH18" s="226"/>
      <c r="AI18" s="226">
        <v>0.01</v>
      </c>
      <c r="AJ18" s="226"/>
      <c r="AK18" s="226">
        <v>1.9E-3</v>
      </c>
      <c r="AL18" s="226"/>
      <c r="AM18" s="226"/>
      <c r="AN18" s="226"/>
      <c r="AO18" s="226"/>
      <c r="AP18" s="226"/>
      <c r="AQ18" s="226"/>
      <c r="AR18" s="226"/>
      <c r="AS18" s="226"/>
      <c r="AT18" s="226"/>
      <c r="AU18" s="226">
        <v>1.2999999999999999E-2</v>
      </c>
      <c r="AV18" s="226"/>
      <c r="AW18" s="238">
        <v>5.1499999999999997E-2</v>
      </c>
      <c r="AX18" s="233">
        <v>5.7500000000000002E-2</v>
      </c>
      <c r="AY18" s="233">
        <v>2.1999999999999997E-3</v>
      </c>
      <c r="AZ18" s="233">
        <v>8.5034285714285715E-2</v>
      </c>
      <c r="BA18">
        <f t="shared" si="0"/>
        <v>1.51711801242236</v>
      </c>
    </row>
    <row r="19" spans="1:53" ht="18" x14ac:dyDescent="0.35">
      <c r="A19" s="223">
        <v>16</v>
      </c>
      <c r="B19" s="245" t="s">
        <v>40</v>
      </c>
      <c r="C19" s="246">
        <v>2.9940000000000002</v>
      </c>
      <c r="D19" s="241"/>
      <c r="E19" s="241">
        <v>2.547777777777778E-2</v>
      </c>
      <c r="F19" s="241"/>
      <c r="G19" s="241">
        <v>1.9610000000000001</v>
      </c>
      <c r="H19" s="241"/>
      <c r="I19" s="241">
        <v>0.1117952380952381</v>
      </c>
      <c r="J19" s="241"/>
      <c r="K19" s="241">
        <v>4.2999999999999997E-2</v>
      </c>
      <c r="L19" s="241"/>
      <c r="M19" s="241">
        <v>1.4955555555555555E-4</v>
      </c>
      <c r="N19" s="241"/>
      <c r="O19" s="241">
        <v>4.2640000000000002</v>
      </c>
      <c r="P19" s="247"/>
      <c r="Q19" s="248">
        <v>1.3370685714285715</v>
      </c>
      <c r="R19" s="369"/>
      <c r="S19" s="246"/>
      <c r="T19" s="249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>
        <v>2.101</v>
      </c>
      <c r="AF19" s="241"/>
      <c r="AG19" s="241">
        <v>5.2853846153846154E-2</v>
      </c>
      <c r="AH19" s="241"/>
      <c r="AI19" s="241">
        <v>0.373</v>
      </c>
      <c r="AJ19" s="241"/>
      <c r="AK19" s="241">
        <v>2.0076923076923076E-3</v>
      </c>
      <c r="AL19" s="241"/>
      <c r="AM19" s="241"/>
      <c r="AN19" s="241"/>
      <c r="AO19" s="241"/>
      <c r="AP19" s="241"/>
      <c r="AQ19" s="241"/>
      <c r="AR19" s="241"/>
      <c r="AS19" s="241"/>
      <c r="AT19" s="241"/>
      <c r="AU19" s="241">
        <v>0.67</v>
      </c>
      <c r="AV19" s="241"/>
      <c r="AW19" s="242">
        <v>1.9933333333333334E-2</v>
      </c>
      <c r="AX19" s="233">
        <v>12.405999999999999</v>
      </c>
      <c r="AY19" s="233">
        <v>0</v>
      </c>
      <c r="AZ19" s="233">
        <v>1.5492860146520149</v>
      </c>
      <c r="BA19">
        <f t="shared" si="0"/>
        <v>0.12488199376527608</v>
      </c>
    </row>
    <row r="20" spans="1:53" ht="18" x14ac:dyDescent="0.35">
      <c r="A20" s="223">
        <v>17</v>
      </c>
      <c r="B20" s="237" t="s">
        <v>41</v>
      </c>
      <c r="C20" s="238">
        <v>1.0999999999999999E-2</v>
      </c>
      <c r="D20" s="236"/>
      <c r="E20" s="238">
        <v>0.53235555555555558</v>
      </c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8"/>
      <c r="S20" s="238"/>
      <c r="T20" s="236"/>
      <c r="U20" s="229"/>
      <c r="V20" s="229"/>
      <c r="W20" s="238"/>
      <c r="X20" s="238"/>
      <c r="Y20" s="238"/>
      <c r="Z20" s="238"/>
      <c r="AA20" s="238"/>
      <c r="AB20" s="238"/>
      <c r="AC20" s="238"/>
      <c r="AD20" s="238"/>
      <c r="AE20" s="238">
        <v>1.4999999999999999E-2</v>
      </c>
      <c r="AF20" s="236"/>
      <c r="AG20" s="238">
        <v>1.4153846153846154E-3</v>
      </c>
      <c r="AH20" s="238"/>
      <c r="AI20" s="238">
        <v>2.4199999999999999E-2</v>
      </c>
      <c r="AJ20" s="236"/>
      <c r="AK20" s="238">
        <v>0.26176923076923075</v>
      </c>
      <c r="AL20" s="238"/>
      <c r="AM20" s="238"/>
      <c r="AN20" s="238"/>
      <c r="AO20" s="238"/>
      <c r="AP20" s="238"/>
      <c r="AQ20" s="238"/>
      <c r="AR20" s="238"/>
      <c r="AS20" s="238"/>
      <c r="AT20" s="238"/>
      <c r="AU20" s="238">
        <v>3.2000000000000001E-2</v>
      </c>
      <c r="AV20" s="238"/>
      <c r="AW20" s="238">
        <v>7.6111111111111119E-3</v>
      </c>
      <c r="AX20" s="233">
        <v>8.2199999999999995E-2</v>
      </c>
      <c r="AY20" s="233">
        <v>0</v>
      </c>
      <c r="AZ20" s="233">
        <v>0.80315128205128206</v>
      </c>
      <c r="BA20">
        <f t="shared" si="0"/>
        <v>9.7706968619377381</v>
      </c>
    </row>
    <row r="21" spans="1:53" ht="18" x14ac:dyDescent="0.35">
      <c r="A21" s="223">
        <v>18</v>
      </c>
      <c r="B21" s="250" t="s">
        <v>42</v>
      </c>
      <c r="C21" s="239">
        <v>2.0003E-2</v>
      </c>
      <c r="D21" s="231"/>
      <c r="E21" s="231">
        <v>5.210061111111111</v>
      </c>
      <c r="F21" s="231"/>
      <c r="G21" s="231">
        <v>0</v>
      </c>
      <c r="H21" s="231"/>
      <c r="I21" s="231">
        <v>0.15300000000000002</v>
      </c>
      <c r="J21" s="231"/>
      <c r="K21" s="231"/>
      <c r="L21" s="231"/>
      <c r="M21" s="231"/>
      <c r="N21" s="231"/>
      <c r="O21" s="231">
        <v>1.4250000000000001E-2</v>
      </c>
      <c r="P21" s="251"/>
      <c r="Q21" s="252">
        <v>5.7160000000000002E-2</v>
      </c>
      <c r="R21" s="369"/>
      <c r="S21" s="239">
        <v>9.9999999999999995E-7</v>
      </c>
      <c r="T21" s="240"/>
      <c r="U21" s="231">
        <v>2.625</v>
      </c>
      <c r="V21" s="231"/>
      <c r="W21" s="231"/>
      <c r="X21" s="231"/>
      <c r="Y21" s="231"/>
      <c r="Z21" s="231"/>
      <c r="AA21" s="231"/>
      <c r="AB21" s="231"/>
      <c r="AC21" s="231"/>
      <c r="AD21" s="231"/>
      <c r="AE21" s="231">
        <v>5.0000000000000001E-3</v>
      </c>
      <c r="AF21" s="231"/>
      <c r="AG21" s="231">
        <v>1.5384615384615384E-5</v>
      </c>
      <c r="AH21" s="231"/>
      <c r="AI21" s="231">
        <v>6.0400000000000004E-4</v>
      </c>
      <c r="AJ21" s="231"/>
      <c r="AK21" s="231">
        <v>7.9707692307692311</v>
      </c>
      <c r="AL21" s="231"/>
      <c r="AM21" s="231"/>
      <c r="AN21" s="231"/>
      <c r="AO21" s="231"/>
      <c r="AP21" s="231"/>
      <c r="AQ21" s="231"/>
      <c r="AR21" s="231"/>
      <c r="AS21" s="231"/>
      <c r="AT21" s="231"/>
      <c r="AU21" s="231">
        <v>3.676E-3</v>
      </c>
      <c r="AV21" s="231">
        <v>1.7874999999999999E-2</v>
      </c>
      <c r="AW21" s="232">
        <v>8.9880500000000012</v>
      </c>
      <c r="AX21" s="233">
        <v>4.3533999999999996E-2</v>
      </c>
      <c r="AY21" s="233">
        <v>1.7874999999999999E-2</v>
      </c>
      <c r="AZ21" s="233">
        <v>25.004055726495729</v>
      </c>
      <c r="BA21">
        <f t="shared" si="0"/>
        <v>574.76755470427088</v>
      </c>
    </row>
    <row r="22" spans="1:53" ht="18" x14ac:dyDescent="0.35">
      <c r="A22" s="223">
        <v>19</v>
      </c>
      <c r="B22" s="237" t="s">
        <v>43</v>
      </c>
      <c r="C22" s="235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>
        <v>2.3130000000000001E-2</v>
      </c>
      <c r="P22" s="236"/>
      <c r="Q22" s="236">
        <v>1.7529714285714284</v>
      </c>
      <c r="R22" s="236"/>
      <c r="S22" s="236">
        <v>0.58516999999999997</v>
      </c>
      <c r="T22" s="236"/>
      <c r="U22" s="236">
        <v>7.9023999999999992</v>
      </c>
      <c r="V22" s="236"/>
      <c r="W22" s="236"/>
      <c r="X22" s="236"/>
      <c r="Y22" s="236"/>
      <c r="Z22" s="236"/>
      <c r="AA22" s="236">
        <v>2.9956</v>
      </c>
      <c r="AB22" s="236">
        <v>29.799949999999999</v>
      </c>
      <c r="AC22" s="236"/>
      <c r="AD22" s="236"/>
      <c r="AE22" s="236"/>
      <c r="AF22" s="236"/>
      <c r="AG22" s="236"/>
      <c r="AH22" s="236"/>
      <c r="AI22" s="236">
        <v>1.4685999999999999</v>
      </c>
      <c r="AJ22" s="236"/>
      <c r="AK22" s="236">
        <v>22.421692307692307</v>
      </c>
      <c r="AL22" s="236"/>
      <c r="AM22" s="236">
        <v>0.38306000000000001</v>
      </c>
      <c r="AN22" s="236">
        <v>1.0485800000000001</v>
      </c>
      <c r="AO22" s="236"/>
      <c r="AP22" s="236"/>
      <c r="AQ22" s="236"/>
      <c r="AR22" s="236"/>
      <c r="AS22" s="236"/>
      <c r="AT22" s="236"/>
      <c r="AU22" s="236"/>
      <c r="AV22" s="236"/>
      <c r="AW22" s="236"/>
      <c r="AX22" s="233">
        <v>5.4555600000000002</v>
      </c>
      <c r="AY22" s="233">
        <v>30.84853</v>
      </c>
      <c r="AZ22" s="233">
        <v>32.077063736263739</v>
      </c>
      <c r="BA22">
        <f t="shared" si="0"/>
        <v>11.534213487939594</v>
      </c>
    </row>
    <row r="23" spans="1:53" ht="18" x14ac:dyDescent="0.35">
      <c r="A23" s="223">
        <v>20</v>
      </c>
      <c r="B23" s="237" t="s">
        <v>45</v>
      </c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29"/>
      <c r="R23" s="229"/>
      <c r="S23" s="238"/>
      <c r="T23" s="229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8"/>
      <c r="AQ23" s="238"/>
      <c r="AR23" s="238"/>
      <c r="AS23" s="238"/>
      <c r="AT23" s="238"/>
      <c r="AU23" s="238">
        <v>2.1160000000000001</v>
      </c>
      <c r="AV23" s="238">
        <v>13.25</v>
      </c>
      <c r="AW23" s="238"/>
      <c r="AX23" s="233">
        <v>2.1160000000000001</v>
      </c>
      <c r="AY23" s="233">
        <v>13.25</v>
      </c>
      <c r="AZ23" s="233">
        <v>0</v>
      </c>
      <c r="BA23">
        <f t="shared" si="0"/>
        <v>6.2618147448015122</v>
      </c>
    </row>
    <row r="24" spans="1:53" ht="18" x14ac:dyDescent="0.35">
      <c r="A24" s="223">
        <v>21</v>
      </c>
      <c r="B24" s="237" t="s">
        <v>46</v>
      </c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29"/>
      <c r="R24" s="229"/>
      <c r="S24" s="238"/>
      <c r="T24" s="229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  <c r="AK24" s="238"/>
      <c r="AL24" s="238"/>
      <c r="AM24" s="238"/>
      <c r="AN24" s="238"/>
      <c r="AO24" s="238"/>
      <c r="AP24" s="238"/>
      <c r="AQ24" s="238"/>
      <c r="AR24" s="238"/>
      <c r="AS24" s="238"/>
      <c r="AT24" s="238"/>
      <c r="AU24" s="238">
        <v>3.911</v>
      </c>
      <c r="AV24" s="238">
        <v>12.881</v>
      </c>
      <c r="AW24" s="238"/>
      <c r="AX24" s="233">
        <v>3.911</v>
      </c>
      <c r="AY24" s="233">
        <v>12.881</v>
      </c>
      <c r="AZ24" s="233">
        <v>0</v>
      </c>
      <c r="BA24">
        <f t="shared" si="0"/>
        <v>3.2935310662234722</v>
      </c>
    </row>
    <row r="25" spans="1:53" ht="18" x14ac:dyDescent="0.35">
      <c r="A25" s="253">
        <v>22</v>
      </c>
      <c r="B25" s="254" t="s">
        <v>47</v>
      </c>
      <c r="C25" s="239">
        <v>1.0999999999999999E-2</v>
      </c>
      <c r="D25" s="231"/>
      <c r="E25" s="231">
        <v>2.7777777777777776E-2</v>
      </c>
      <c r="F25" s="231"/>
      <c r="G25" s="231">
        <v>7.0000000000000001E-3</v>
      </c>
      <c r="H25" s="231"/>
      <c r="I25" s="231">
        <v>4.2857142857142858E-2</v>
      </c>
      <c r="J25" s="231"/>
      <c r="K25" s="231"/>
      <c r="L25" s="231"/>
      <c r="M25" s="231"/>
      <c r="N25" s="231"/>
      <c r="O25" s="231">
        <v>3.1E-2</v>
      </c>
      <c r="P25" s="251"/>
      <c r="Q25" s="252">
        <v>6.2040816326530614E-4</v>
      </c>
      <c r="R25" s="369"/>
      <c r="S25" s="239">
        <v>3.4000000000000002E-2</v>
      </c>
      <c r="T25" s="240"/>
      <c r="U25" s="231">
        <v>1.0937499999999999E-2</v>
      </c>
      <c r="V25" s="231"/>
      <c r="W25" s="231"/>
      <c r="X25" s="231"/>
      <c r="Y25" s="231"/>
      <c r="Z25" s="231"/>
      <c r="AA25" s="231">
        <v>1.7000000000000001E-2</v>
      </c>
      <c r="AB25" s="231">
        <v>16.5</v>
      </c>
      <c r="AC25" s="231"/>
      <c r="AD25" s="231"/>
      <c r="AE25" s="231">
        <v>3.7999999999999999E-2</v>
      </c>
      <c r="AF25" s="231"/>
      <c r="AG25" s="231">
        <v>1.051939513477975E-5</v>
      </c>
      <c r="AH25" s="251"/>
      <c r="AI25" s="251">
        <v>2.5000000000000001E-2</v>
      </c>
      <c r="AJ25" s="232"/>
      <c r="AK25" s="232">
        <v>1.4201183431952664E-3</v>
      </c>
      <c r="AL25" s="232"/>
      <c r="AM25" s="232"/>
      <c r="AN25" s="232"/>
      <c r="AO25" s="232"/>
      <c r="AP25" s="232"/>
      <c r="AQ25" s="232"/>
      <c r="AR25" s="232"/>
      <c r="AS25" s="239"/>
      <c r="AT25" s="239"/>
      <c r="AU25" s="231">
        <v>7.9000000000000001E-2</v>
      </c>
      <c r="AV25" s="231"/>
      <c r="AW25" s="232">
        <v>2.4382716049382715E-3</v>
      </c>
      <c r="AX25" s="233">
        <v>0.24199999999999999</v>
      </c>
      <c r="AY25" s="233">
        <v>16.5</v>
      </c>
      <c r="AZ25" s="233">
        <v>8.6061738141454264E-2</v>
      </c>
      <c r="BA25">
        <f t="shared" si="0"/>
        <v>68.537445198931621</v>
      </c>
    </row>
    <row r="26" spans="1:53" ht="18" x14ac:dyDescent="0.35">
      <c r="A26" s="223">
        <v>23</v>
      </c>
      <c r="B26" s="237" t="s">
        <v>48</v>
      </c>
      <c r="C26" s="235">
        <v>5.4000000000000003E-3</v>
      </c>
      <c r="D26" s="236"/>
      <c r="E26" s="236">
        <v>0.83333333333333337</v>
      </c>
      <c r="F26" s="236"/>
      <c r="G26" s="236">
        <v>2.861E-2</v>
      </c>
      <c r="H26" s="236"/>
      <c r="I26" s="236">
        <v>8.3446666666666669</v>
      </c>
      <c r="J26" s="236"/>
      <c r="K26" s="236">
        <v>5.4526500000000002</v>
      </c>
      <c r="L26" s="236">
        <v>98.224590000000006</v>
      </c>
      <c r="M26" s="236"/>
      <c r="N26" s="236"/>
      <c r="O26" s="236">
        <v>1.9359999999999999E-2</v>
      </c>
      <c r="P26" s="236"/>
      <c r="Q26" s="236">
        <v>11.885714285714286</v>
      </c>
      <c r="R26" s="236"/>
      <c r="S26" s="236">
        <v>0.04</v>
      </c>
      <c r="T26" s="236">
        <v>0.442</v>
      </c>
      <c r="U26" s="236"/>
      <c r="V26" s="236"/>
      <c r="W26" s="236">
        <v>13.401999999999999</v>
      </c>
      <c r="X26" s="236">
        <v>121.0116</v>
      </c>
      <c r="Y26" s="236"/>
      <c r="Z26" s="236"/>
      <c r="AA26" s="236">
        <v>2.95478</v>
      </c>
      <c r="AB26" s="236">
        <v>91.670169999999999</v>
      </c>
      <c r="AC26" s="236"/>
      <c r="AD26" s="236"/>
      <c r="AE26" s="236"/>
      <c r="AF26" s="236"/>
      <c r="AG26" s="236"/>
      <c r="AH26" s="236"/>
      <c r="AI26" s="236">
        <v>1.319</v>
      </c>
      <c r="AJ26" s="243">
        <v>23.375530000000001</v>
      </c>
      <c r="AK26" s="243"/>
      <c r="AL26" s="243"/>
      <c r="AM26" s="243">
        <v>7.3339999999999996</v>
      </c>
      <c r="AN26" s="243">
        <v>95.081320000000005</v>
      </c>
      <c r="AO26" s="243"/>
      <c r="AP26" s="243"/>
      <c r="AQ26" s="243"/>
      <c r="AR26" s="243"/>
      <c r="AS26" s="236"/>
      <c r="AT26" s="236"/>
      <c r="AU26" s="236">
        <v>5.5494000000000012</v>
      </c>
      <c r="AV26" s="236">
        <v>56.864060000000002</v>
      </c>
      <c r="AW26" s="236">
        <v>0.84722222222222221</v>
      </c>
      <c r="AX26" s="233">
        <v>36.105199999999996</v>
      </c>
      <c r="AY26" s="233">
        <v>486.66927000000004</v>
      </c>
      <c r="AZ26" s="233">
        <v>21.910936507936508</v>
      </c>
      <c r="BA26">
        <f t="shared" si="0"/>
        <v>14.086065345377857</v>
      </c>
    </row>
    <row r="27" spans="1:53" ht="18" x14ac:dyDescent="0.35">
      <c r="A27" s="223">
        <v>24</v>
      </c>
      <c r="B27" s="255" t="s">
        <v>65</v>
      </c>
      <c r="C27" s="225"/>
      <c r="D27" s="226"/>
      <c r="E27" s="226"/>
      <c r="F27" s="226"/>
      <c r="G27" s="226">
        <v>8.9999999999999993E-3</v>
      </c>
      <c r="H27" s="226"/>
      <c r="I27" s="226">
        <v>2.8571428571428571E-2</v>
      </c>
      <c r="J27" s="226"/>
      <c r="K27" s="226">
        <v>1.2330000000000001</v>
      </c>
      <c r="L27" s="226">
        <v>22.190999999999999</v>
      </c>
      <c r="M27" s="226">
        <v>1.8833333333333333</v>
      </c>
      <c r="N27" s="226"/>
      <c r="O27" s="226">
        <v>0.123</v>
      </c>
      <c r="P27" s="228"/>
      <c r="Q27" s="229">
        <v>6.805714285714286</v>
      </c>
      <c r="R27" s="369"/>
      <c r="S27" s="225">
        <v>0</v>
      </c>
      <c r="T27" s="230"/>
      <c r="U27" s="226">
        <v>1.2500000000000001E-2</v>
      </c>
      <c r="V27" s="226"/>
      <c r="W27" s="226">
        <v>0.248</v>
      </c>
      <c r="X27" s="226">
        <v>0.504</v>
      </c>
      <c r="Y27" s="226"/>
      <c r="Z27" s="226"/>
      <c r="AA27" s="226">
        <v>0.95699999999999996</v>
      </c>
      <c r="AB27" s="226">
        <v>14.9</v>
      </c>
      <c r="AC27" s="226"/>
      <c r="AD27" s="226"/>
      <c r="AE27" s="226">
        <v>5.0000000000000001E-3</v>
      </c>
      <c r="AF27" s="226"/>
      <c r="AG27" s="226">
        <v>0.25384615384615383</v>
      </c>
      <c r="AH27" s="226"/>
      <c r="AI27" s="226">
        <v>1.02</v>
      </c>
      <c r="AJ27" s="241">
        <v>4.5780000000000003</v>
      </c>
      <c r="AK27" s="241">
        <v>0.2846153846153846</v>
      </c>
      <c r="AL27" s="241"/>
      <c r="AM27" s="241"/>
      <c r="AN27" s="241"/>
      <c r="AO27" s="241"/>
      <c r="AP27" s="241"/>
      <c r="AQ27" s="241"/>
      <c r="AR27" s="241"/>
      <c r="AS27" s="226"/>
      <c r="AT27" s="226"/>
      <c r="AU27" s="226">
        <v>0.63500000000000001</v>
      </c>
      <c r="AV27" s="226">
        <v>9.5280000000000005</v>
      </c>
      <c r="AW27" s="238">
        <v>3.3333333333333333E-2</v>
      </c>
      <c r="AX27" s="233">
        <v>4.2299999999999995</v>
      </c>
      <c r="AY27" s="233">
        <v>51.701000000000001</v>
      </c>
      <c r="AZ27" s="233">
        <v>9.3019139194139182</v>
      </c>
      <c r="BA27">
        <f t="shared" si="0"/>
        <v>14.421492652343717</v>
      </c>
    </row>
    <row r="28" spans="1:53" ht="18" x14ac:dyDescent="0.35">
      <c r="A28" s="223">
        <v>25</v>
      </c>
      <c r="B28" s="237" t="s">
        <v>49</v>
      </c>
      <c r="C28" s="225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8"/>
      <c r="Q28" s="229"/>
      <c r="R28" s="369"/>
      <c r="S28" s="225"/>
      <c r="T28" s="226"/>
      <c r="U28" s="226"/>
      <c r="V28" s="226"/>
      <c r="W28" s="226"/>
      <c r="X28" s="226"/>
      <c r="Y28" s="226"/>
      <c r="Z28" s="226"/>
      <c r="AA28" s="226"/>
      <c r="AB28" s="226"/>
      <c r="AC28" s="226"/>
      <c r="AD28" s="226"/>
      <c r="AE28" s="226"/>
      <c r="AF28" s="226"/>
      <c r="AG28" s="226"/>
      <c r="AH28" s="228"/>
      <c r="AI28" s="228"/>
      <c r="AJ28" s="238"/>
      <c r="AK28" s="238"/>
      <c r="AL28" s="238"/>
      <c r="AM28" s="238"/>
      <c r="AN28" s="238"/>
      <c r="AO28" s="238"/>
      <c r="AP28" s="238"/>
      <c r="AQ28" s="238"/>
      <c r="AR28" s="238"/>
      <c r="AS28" s="225"/>
      <c r="AT28" s="225"/>
      <c r="AU28" s="226"/>
      <c r="AV28" s="226"/>
      <c r="AW28" s="238"/>
      <c r="AX28" s="233">
        <v>0</v>
      </c>
      <c r="AY28" s="233">
        <v>0</v>
      </c>
      <c r="AZ28" s="233">
        <v>0</v>
      </c>
      <c r="BA28" t="e">
        <f t="shared" si="0"/>
        <v>#DIV/0!</v>
      </c>
    </row>
    <row r="29" spans="1:53" ht="18" x14ac:dyDescent="0.35">
      <c r="A29" s="223">
        <v>26</v>
      </c>
      <c r="B29" s="237" t="s">
        <v>50</v>
      </c>
      <c r="C29" s="225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8"/>
      <c r="Q29" s="229"/>
      <c r="R29" s="369"/>
      <c r="S29" s="225">
        <v>3.7149999999999999</v>
      </c>
      <c r="T29" s="230"/>
      <c r="U29" s="226">
        <v>46.4375</v>
      </c>
      <c r="V29" s="226"/>
      <c r="W29" s="226"/>
      <c r="X29" s="226"/>
      <c r="Y29" s="226"/>
      <c r="Z29" s="226"/>
      <c r="AA29" s="226">
        <v>4.4850000000000003</v>
      </c>
      <c r="AB29" s="226">
        <v>8.9700000000000006</v>
      </c>
      <c r="AC29" s="226"/>
      <c r="AD29" s="226"/>
      <c r="AE29" s="226"/>
      <c r="AF29" s="226"/>
      <c r="AG29" s="226"/>
      <c r="AH29" s="226"/>
      <c r="AI29" s="226">
        <v>14.154999999999999</v>
      </c>
      <c r="AJ29" s="231">
        <v>39.469000000000001</v>
      </c>
      <c r="AK29" s="251"/>
      <c r="AL29" s="370"/>
      <c r="AM29" s="243"/>
      <c r="AN29" s="243"/>
      <c r="AO29" s="239"/>
      <c r="AP29" s="239"/>
      <c r="AQ29" s="231"/>
      <c r="AR29" s="231"/>
      <c r="AS29" s="226"/>
      <c r="AT29" s="226"/>
      <c r="AU29" s="226"/>
      <c r="AV29" s="226"/>
      <c r="AW29" s="238"/>
      <c r="AX29" s="233">
        <v>22.354999999999997</v>
      </c>
      <c r="AY29" s="233">
        <v>48.439</v>
      </c>
      <c r="AZ29" s="233">
        <v>46.4375</v>
      </c>
      <c r="BA29">
        <f t="shared" si="0"/>
        <v>4.2440840975173346</v>
      </c>
    </row>
    <row r="30" spans="1:53" ht="18" x14ac:dyDescent="0.35">
      <c r="A30" s="223">
        <v>27</v>
      </c>
      <c r="B30" s="237" t="s">
        <v>51</v>
      </c>
      <c r="C30" s="225"/>
      <c r="D30" s="226"/>
      <c r="E30" s="226"/>
      <c r="F30" s="226"/>
      <c r="G30" s="226">
        <v>0.02</v>
      </c>
      <c r="H30" s="226"/>
      <c r="I30" s="226">
        <v>0.6</v>
      </c>
      <c r="J30" s="226"/>
      <c r="K30" s="226"/>
      <c r="L30" s="226"/>
      <c r="M30" s="226"/>
      <c r="N30" s="226"/>
      <c r="O30" s="226">
        <v>0.114</v>
      </c>
      <c r="P30" s="228"/>
      <c r="Q30" s="229">
        <v>6.3657142857142857</v>
      </c>
      <c r="R30" s="369"/>
      <c r="S30" s="225">
        <v>0.32100000000000001</v>
      </c>
      <c r="T30" s="230"/>
      <c r="U30" s="226">
        <v>8.125</v>
      </c>
      <c r="V30" s="226"/>
      <c r="W30" s="226"/>
      <c r="X30" s="226"/>
      <c r="Y30" s="226"/>
      <c r="Z30" s="226"/>
      <c r="AA30" s="226">
        <v>0.86</v>
      </c>
      <c r="AB30" s="226">
        <v>2.669</v>
      </c>
      <c r="AC30" s="226"/>
      <c r="AD30" s="226"/>
      <c r="AE30" s="226"/>
      <c r="AF30" s="226"/>
      <c r="AG30" s="226"/>
      <c r="AH30" s="226"/>
      <c r="AI30" s="226">
        <v>0.14799999999999999</v>
      </c>
      <c r="AJ30" s="226">
        <v>0.216</v>
      </c>
      <c r="AK30" s="226"/>
      <c r="AL30" s="231"/>
      <c r="AM30" s="231">
        <v>1.7000000000000001E-2</v>
      </c>
      <c r="AN30" s="231">
        <v>1.9E-2</v>
      </c>
      <c r="AO30" s="226"/>
      <c r="AP30" s="226"/>
      <c r="AQ30" s="226"/>
      <c r="AR30" s="226"/>
      <c r="AS30" s="226"/>
      <c r="AT30" s="226"/>
      <c r="AU30" s="226">
        <v>0.15100000000000002</v>
      </c>
      <c r="AV30" s="226">
        <v>0.15</v>
      </c>
      <c r="AW30" s="238">
        <v>0.13333333333333333</v>
      </c>
      <c r="AX30" s="233">
        <v>1.6309999999999998</v>
      </c>
      <c r="AY30" s="233">
        <v>3.0540000000000003</v>
      </c>
      <c r="AZ30" s="233">
        <v>15.224047619047617</v>
      </c>
      <c r="BA30">
        <f t="shared" si="0"/>
        <v>11.206650900703631</v>
      </c>
    </row>
    <row r="31" spans="1:53" ht="18" x14ac:dyDescent="0.35">
      <c r="A31" s="223">
        <v>28</v>
      </c>
      <c r="B31" s="237" t="s">
        <v>52</v>
      </c>
      <c r="C31" s="225">
        <v>3.0000000000000001E-3</v>
      </c>
      <c r="D31" s="226"/>
      <c r="E31" s="226">
        <v>0.10333333333333335</v>
      </c>
      <c r="F31" s="226"/>
      <c r="G31" s="226"/>
      <c r="H31" s="226"/>
      <c r="I31" s="226"/>
      <c r="J31" s="226"/>
      <c r="K31" s="226">
        <v>0.68200000000000005</v>
      </c>
      <c r="L31" s="226"/>
      <c r="M31" s="226">
        <v>9.6472222222222221</v>
      </c>
      <c r="N31" s="226"/>
      <c r="O31" s="226">
        <v>1.0999999999999999E-2</v>
      </c>
      <c r="P31" s="228"/>
      <c r="Q31" s="229">
        <v>1.1251428571428572</v>
      </c>
      <c r="R31" s="369"/>
      <c r="S31" s="225">
        <v>2.91</v>
      </c>
      <c r="T31" s="230"/>
      <c r="U31" s="226">
        <v>54.726250000000007</v>
      </c>
      <c r="V31" s="226"/>
      <c r="W31" s="226">
        <v>0.52200000000000002</v>
      </c>
      <c r="X31" s="226">
        <v>0.56000000000000005</v>
      </c>
      <c r="Y31" s="226"/>
      <c r="Z31" s="226"/>
      <c r="AA31" s="226">
        <v>7.41</v>
      </c>
      <c r="AB31" s="226">
        <v>62.365000000000002</v>
      </c>
      <c r="AC31" s="226"/>
      <c r="AD31" s="226"/>
      <c r="AE31" s="226">
        <v>3.0000000000000001E-3</v>
      </c>
      <c r="AF31" s="226"/>
      <c r="AG31" s="226">
        <v>5.5384615384615386E-2</v>
      </c>
      <c r="AH31" s="226"/>
      <c r="AI31" s="226">
        <v>1.8180000000000001</v>
      </c>
      <c r="AJ31" s="226"/>
      <c r="AK31" s="226">
        <v>65.064615384615379</v>
      </c>
      <c r="AL31" s="226"/>
      <c r="AM31" s="226">
        <v>7.23</v>
      </c>
      <c r="AN31" s="226"/>
      <c r="AO31" s="226">
        <v>83.945555555555558</v>
      </c>
      <c r="AP31" s="226"/>
      <c r="AQ31" s="226"/>
      <c r="AR31" s="226"/>
      <c r="AS31" s="226"/>
      <c r="AT31" s="226"/>
      <c r="AU31" s="226">
        <v>8.0459999999999994</v>
      </c>
      <c r="AV31" s="226">
        <v>10.65</v>
      </c>
      <c r="AW31" s="238"/>
      <c r="AX31" s="233">
        <v>28.634999999999998</v>
      </c>
      <c r="AY31" s="233">
        <v>73.575000000000003</v>
      </c>
      <c r="AZ31" s="233">
        <v>214.66750396825395</v>
      </c>
      <c r="BA31">
        <f t="shared" si="0"/>
        <v>10.066090587332075</v>
      </c>
    </row>
    <row r="32" spans="1:53" ht="18" x14ac:dyDescent="0.35">
      <c r="A32" s="223">
        <v>29</v>
      </c>
      <c r="B32" s="237" t="s">
        <v>12</v>
      </c>
      <c r="C32" s="225">
        <v>0</v>
      </c>
      <c r="D32" s="225">
        <v>0</v>
      </c>
      <c r="E32" s="225">
        <v>0</v>
      </c>
      <c r="F32" s="225"/>
      <c r="G32" s="225">
        <v>0</v>
      </c>
      <c r="H32" s="225">
        <v>0</v>
      </c>
      <c r="I32" s="225">
        <v>0</v>
      </c>
      <c r="J32" s="225"/>
      <c r="K32" s="225">
        <v>0</v>
      </c>
      <c r="L32" s="225">
        <v>0</v>
      </c>
      <c r="M32" s="225">
        <v>0</v>
      </c>
      <c r="N32" s="225"/>
      <c r="O32" s="225">
        <v>0</v>
      </c>
      <c r="P32" s="225">
        <v>0</v>
      </c>
      <c r="Q32" s="225">
        <v>0</v>
      </c>
      <c r="R32" s="225"/>
      <c r="S32" s="225">
        <v>0</v>
      </c>
      <c r="T32" s="225">
        <v>0</v>
      </c>
      <c r="U32" s="225">
        <v>0</v>
      </c>
      <c r="V32" s="225"/>
      <c r="W32" s="225">
        <v>3.15E-2</v>
      </c>
      <c r="X32" s="225">
        <v>0.25619999999999998</v>
      </c>
      <c r="Y32" s="225">
        <v>0</v>
      </c>
      <c r="Z32" s="225"/>
      <c r="AA32" s="225">
        <v>3.7000000000000005E-2</v>
      </c>
      <c r="AB32" s="225">
        <v>0.19600000000000001</v>
      </c>
      <c r="AC32" s="225">
        <v>1.6E-2</v>
      </c>
      <c r="AD32" s="225"/>
      <c r="AE32" s="225">
        <v>0</v>
      </c>
      <c r="AF32" s="225">
        <v>0</v>
      </c>
      <c r="AG32" s="225">
        <v>0</v>
      </c>
      <c r="AH32" s="225"/>
      <c r="AI32" s="225">
        <v>5.0000000000000001E-3</v>
      </c>
      <c r="AJ32" s="225">
        <v>1.0800000000000001E-2</v>
      </c>
      <c r="AK32" s="225">
        <v>0</v>
      </c>
      <c r="AL32" s="225"/>
      <c r="AM32" s="225">
        <v>6.0000000000000001E-3</v>
      </c>
      <c r="AN32" s="225">
        <v>1.4999999999999999E-2</v>
      </c>
      <c r="AO32" s="225">
        <v>0</v>
      </c>
      <c r="AP32" s="225"/>
      <c r="AQ32" s="225">
        <v>0</v>
      </c>
      <c r="AR32" s="225">
        <v>0</v>
      </c>
      <c r="AS32" s="225">
        <v>0</v>
      </c>
      <c r="AT32" s="225"/>
      <c r="AU32" s="225">
        <v>6.862E-2</v>
      </c>
      <c r="AV32" s="225">
        <v>0.248</v>
      </c>
      <c r="AW32" s="225">
        <v>0</v>
      </c>
      <c r="AX32" s="233">
        <v>0.14812000000000003</v>
      </c>
      <c r="AY32" s="233">
        <v>0.72599999999999998</v>
      </c>
      <c r="AZ32" s="233">
        <v>1.6E-2</v>
      </c>
      <c r="BA32">
        <f t="shared" si="0"/>
        <v>5.0094517958412084</v>
      </c>
    </row>
    <row r="33" spans="1:54" ht="18" x14ac:dyDescent="0.35">
      <c r="A33" s="256"/>
      <c r="B33" s="365" t="s">
        <v>72</v>
      </c>
      <c r="C33" s="366">
        <v>3.1816830000000005</v>
      </c>
      <c r="D33" s="366">
        <v>0.86299999999999999</v>
      </c>
      <c r="E33" s="366">
        <v>8.1328944444444442</v>
      </c>
      <c r="F33" s="366"/>
      <c r="G33" s="366">
        <v>2.3489525000000002</v>
      </c>
      <c r="H33" s="366">
        <v>1.2629999999999999</v>
      </c>
      <c r="I33" s="366">
        <v>16.299533333333333</v>
      </c>
      <c r="J33" s="366"/>
      <c r="K33" s="366">
        <v>25.276994099999996</v>
      </c>
      <c r="L33" s="366">
        <v>585.64201939999998</v>
      </c>
      <c r="M33" s="366">
        <v>15.864016222222222</v>
      </c>
      <c r="N33" s="366"/>
      <c r="O33" s="366">
        <v>5.4806849999999994</v>
      </c>
      <c r="P33" s="366">
        <v>5.2580000000000009</v>
      </c>
      <c r="Q33" s="366">
        <v>38.701808979591831</v>
      </c>
      <c r="R33" s="366"/>
      <c r="S33" s="366">
        <v>11.677101800000001</v>
      </c>
      <c r="T33" s="366">
        <v>10.71148</v>
      </c>
      <c r="U33" s="366">
        <v>138.61396892857144</v>
      </c>
      <c r="V33" s="366"/>
      <c r="W33" s="366">
        <v>22.037050000000001</v>
      </c>
      <c r="X33" s="366">
        <v>174.14179999999999</v>
      </c>
      <c r="Y33" s="366">
        <v>2.54</v>
      </c>
      <c r="Z33" s="366"/>
      <c r="AA33" s="366">
        <v>79.701804500000009</v>
      </c>
      <c r="AB33" s="366">
        <v>881.42529550000006</v>
      </c>
      <c r="AC33" s="366">
        <v>5.7386333333333335</v>
      </c>
      <c r="AD33" s="366"/>
      <c r="AE33" s="366">
        <v>2.9104999999999999</v>
      </c>
      <c r="AF33" s="366">
        <v>4.8281200000000002</v>
      </c>
      <c r="AG33" s="366">
        <v>9.9942951347797493</v>
      </c>
      <c r="AH33" s="366"/>
      <c r="AI33" s="366">
        <v>36.003631999999996</v>
      </c>
      <c r="AJ33" s="366">
        <v>147.14392599999999</v>
      </c>
      <c r="AK33" s="366">
        <v>283.32304319526628</v>
      </c>
      <c r="AL33" s="366"/>
      <c r="AM33" s="366">
        <v>22.067785000000001</v>
      </c>
      <c r="AN33" s="366">
        <v>147.88272000000001</v>
      </c>
      <c r="AO33" s="366">
        <v>87.479111111111109</v>
      </c>
      <c r="AP33" s="366"/>
      <c r="AQ33" s="366">
        <v>2.3620000000000002E-2</v>
      </c>
      <c r="AR33" s="366">
        <v>1E-3</v>
      </c>
      <c r="AS33" s="366">
        <v>7.7312777777777772E-2</v>
      </c>
      <c r="AT33" s="366"/>
      <c r="AU33" s="366">
        <v>112.6154294</v>
      </c>
      <c r="AV33" s="366">
        <v>364.2837652</v>
      </c>
      <c r="AW33" s="366">
        <v>69.505357993827175</v>
      </c>
      <c r="AX33" s="366">
        <v>323.32523730000003</v>
      </c>
      <c r="AY33" s="366">
        <v>2323.4441260999997</v>
      </c>
      <c r="AZ33" s="366">
        <v>676.26997545425854</v>
      </c>
      <c r="BA33">
        <f>(AZ33+AY33)/AX33</f>
        <v>9.2776986003444843</v>
      </c>
    </row>
    <row r="34" spans="1:54" x14ac:dyDescent="0.3">
      <c r="E34" s="354"/>
      <c r="F34" s="377">
        <f>(E33+D33)/C33</f>
        <v>2.8274012352721631</v>
      </c>
      <c r="G34" s="354"/>
      <c r="H34" s="354"/>
      <c r="I34" s="354"/>
      <c r="J34" s="377">
        <f t="shared" ref="J34:AT34" si="1">(I33+H33)/G33</f>
        <v>7.4767511617767211</v>
      </c>
      <c r="K34" s="354"/>
      <c r="L34" s="354"/>
      <c r="M34" s="354"/>
      <c r="N34" s="354">
        <f t="shared" si="1"/>
        <v>23.796580924241393</v>
      </c>
      <c r="O34" s="354"/>
      <c r="P34" s="354"/>
      <c r="Q34" s="354"/>
      <c r="R34" s="377">
        <f t="shared" si="1"/>
        <v>8.0208603449371463</v>
      </c>
      <c r="S34" s="354"/>
      <c r="T34" s="354"/>
      <c r="U34" s="354"/>
      <c r="V34" s="377">
        <f t="shared" si="1"/>
        <v>12.787886196947552</v>
      </c>
      <c r="W34" s="354"/>
      <c r="X34" s="354"/>
      <c r="Y34" s="354"/>
      <c r="Z34" s="354">
        <f t="shared" si="1"/>
        <v>8.0174887292083099</v>
      </c>
      <c r="AA34" s="354"/>
      <c r="AB34" s="354"/>
      <c r="AC34" s="354"/>
      <c r="AD34" s="354">
        <f t="shared" si="1"/>
        <v>11.131039433785133</v>
      </c>
      <c r="AE34" s="354"/>
      <c r="AF34" s="354"/>
      <c r="AG34" s="354"/>
      <c r="AH34" s="354">
        <f t="shared" si="1"/>
        <v>5.0927384074144477</v>
      </c>
      <c r="AI34" s="354"/>
      <c r="AJ34" s="354"/>
      <c r="AK34" s="354"/>
      <c r="AL34" s="354">
        <f t="shared" si="1"/>
        <v>11.956209562281559</v>
      </c>
      <c r="AM34" s="354"/>
      <c r="AN34" s="354"/>
      <c r="AO34" s="354"/>
      <c r="AP34" s="354">
        <f t="shared" si="1"/>
        <v>10.665403487985365</v>
      </c>
      <c r="AQ34" s="354"/>
      <c r="AR34" s="354"/>
      <c r="AS34" s="354"/>
      <c r="AT34" s="354">
        <f t="shared" si="1"/>
        <v>3.3155282717094736</v>
      </c>
      <c r="AU34" s="354"/>
      <c r="AV34" s="354"/>
      <c r="AW34" s="354"/>
      <c r="AX34" s="354"/>
      <c r="AY34" s="354"/>
      <c r="AZ34" s="354"/>
      <c r="BA34" s="354"/>
      <c r="BB34" s="354"/>
    </row>
  </sheetData>
  <mergeCells count="26">
    <mergeCell ref="AN2:AO2"/>
    <mergeCell ref="AR2:AS2"/>
    <mergeCell ref="AV2:AW2"/>
    <mergeCell ref="AY2:AZ2"/>
    <mergeCell ref="AX1:AZ1"/>
    <mergeCell ref="AM1:AO1"/>
    <mergeCell ref="AQ1:AS1"/>
    <mergeCell ref="AU1:AW1"/>
    <mergeCell ref="D2:E2"/>
    <mergeCell ref="H2:I2"/>
    <mergeCell ref="L2:M2"/>
    <mergeCell ref="P2:Q2"/>
    <mergeCell ref="T2:U2"/>
    <mergeCell ref="X2:Y2"/>
    <mergeCell ref="AB2:AC2"/>
    <mergeCell ref="AF2:AG2"/>
    <mergeCell ref="AJ2:AK2"/>
    <mergeCell ref="AA1:AC1"/>
    <mergeCell ref="AE1:AG1"/>
    <mergeCell ref="AI1:AK1"/>
    <mergeCell ref="W1:Y1"/>
    <mergeCell ref="C1:E1"/>
    <mergeCell ref="G1:I1"/>
    <mergeCell ref="K1:M1"/>
    <mergeCell ref="O1:Q1"/>
    <mergeCell ref="S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EB53-52AC-42D7-A87B-84BD726BC0F0}">
  <dimension ref="A1:BA34"/>
  <sheetViews>
    <sheetView tabSelected="1" workbookViewId="0">
      <selection activeCell="V34" sqref="V34"/>
    </sheetView>
  </sheetViews>
  <sheetFormatPr defaultRowHeight="14.4" x14ac:dyDescent="0.3"/>
  <cols>
    <col min="2" max="2" width="30" bestFit="1" customWidth="1"/>
  </cols>
  <sheetData>
    <row r="1" spans="1:53" ht="16.8" x14ac:dyDescent="0.3">
      <c r="A1" s="257" t="s">
        <v>75</v>
      </c>
      <c r="B1" s="258" t="s">
        <v>76</v>
      </c>
      <c r="C1" s="378" t="s">
        <v>1</v>
      </c>
      <c r="D1" s="378"/>
      <c r="E1" s="378"/>
      <c r="F1" s="258"/>
      <c r="G1" s="378" t="s">
        <v>2</v>
      </c>
      <c r="H1" s="378"/>
      <c r="I1" s="378"/>
      <c r="J1" s="258"/>
      <c r="K1" s="378" t="s">
        <v>3</v>
      </c>
      <c r="L1" s="378"/>
      <c r="M1" s="378"/>
      <c r="N1" s="258"/>
      <c r="O1" s="378" t="s">
        <v>4</v>
      </c>
      <c r="P1" s="378"/>
      <c r="Q1" s="378"/>
      <c r="R1" s="258"/>
      <c r="S1" s="378" t="s">
        <v>63</v>
      </c>
      <c r="T1" s="378"/>
      <c r="U1" s="378"/>
      <c r="V1" s="258"/>
      <c r="W1" s="378" t="s">
        <v>6</v>
      </c>
      <c r="X1" s="378"/>
      <c r="Y1" s="378"/>
      <c r="Z1" s="258"/>
      <c r="AA1" s="378" t="s">
        <v>77</v>
      </c>
      <c r="AB1" s="378"/>
      <c r="AC1" s="378"/>
      <c r="AD1" s="258"/>
      <c r="AE1" s="378" t="s">
        <v>78</v>
      </c>
      <c r="AF1" s="378"/>
      <c r="AG1" s="378"/>
      <c r="AH1" s="258"/>
      <c r="AI1" s="378" t="s">
        <v>9</v>
      </c>
      <c r="AJ1" s="378"/>
      <c r="AK1" s="378"/>
      <c r="AL1" s="258"/>
      <c r="AM1" s="378" t="s">
        <v>10</v>
      </c>
      <c r="AN1" s="378"/>
      <c r="AO1" s="378"/>
      <c r="AP1" s="258"/>
      <c r="AQ1" s="378" t="s">
        <v>11</v>
      </c>
      <c r="AR1" s="378"/>
      <c r="AS1" s="378"/>
      <c r="AT1" s="258"/>
      <c r="AU1" s="378" t="s">
        <v>79</v>
      </c>
      <c r="AV1" s="378"/>
      <c r="AW1" s="378"/>
      <c r="AX1" s="378" t="s">
        <v>53</v>
      </c>
      <c r="AY1" s="378"/>
      <c r="AZ1" s="378"/>
    </row>
    <row r="2" spans="1:53" ht="16.8" x14ac:dyDescent="0.3">
      <c r="A2" s="259"/>
      <c r="B2" s="260"/>
      <c r="C2" s="258" t="s">
        <v>14</v>
      </c>
      <c r="D2" s="378" t="s">
        <v>15</v>
      </c>
      <c r="E2" s="378"/>
      <c r="F2" s="258"/>
      <c r="G2" s="258" t="s">
        <v>14</v>
      </c>
      <c r="H2" s="378" t="s">
        <v>15</v>
      </c>
      <c r="I2" s="378"/>
      <c r="J2" s="258"/>
      <c r="K2" s="258" t="s">
        <v>14</v>
      </c>
      <c r="L2" s="378" t="s">
        <v>15</v>
      </c>
      <c r="M2" s="378"/>
      <c r="N2" s="258"/>
      <c r="O2" s="258" t="s">
        <v>14</v>
      </c>
      <c r="P2" s="378" t="s">
        <v>15</v>
      </c>
      <c r="Q2" s="378"/>
      <c r="R2" s="258"/>
      <c r="S2" s="258" t="s">
        <v>14</v>
      </c>
      <c r="T2" s="378" t="s">
        <v>15</v>
      </c>
      <c r="U2" s="378"/>
      <c r="V2" s="258"/>
      <c r="W2" s="258" t="s">
        <v>14</v>
      </c>
      <c r="X2" s="378" t="s">
        <v>15</v>
      </c>
      <c r="Y2" s="378"/>
      <c r="Z2" s="258"/>
      <c r="AA2" s="258" t="s">
        <v>14</v>
      </c>
      <c r="AB2" s="378" t="s">
        <v>15</v>
      </c>
      <c r="AC2" s="378"/>
      <c r="AD2" s="258"/>
      <c r="AE2" s="258" t="s">
        <v>14</v>
      </c>
      <c r="AF2" s="378" t="s">
        <v>15</v>
      </c>
      <c r="AG2" s="378"/>
      <c r="AH2" s="258"/>
      <c r="AI2" s="258" t="s">
        <v>14</v>
      </c>
      <c r="AJ2" s="378" t="s">
        <v>15</v>
      </c>
      <c r="AK2" s="378"/>
      <c r="AL2" s="258"/>
      <c r="AM2" s="258" t="s">
        <v>14</v>
      </c>
      <c r="AN2" s="378" t="s">
        <v>15</v>
      </c>
      <c r="AO2" s="378"/>
      <c r="AP2" s="258"/>
      <c r="AQ2" s="258" t="s">
        <v>14</v>
      </c>
      <c r="AR2" s="378" t="s">
        <v>15</v>
      </c>
      <c r="AS2" s="378"/>
      <c r="AT2" s="258"/>
      <c r="AU2" s="258" t="s">
        <v>14</v>
      </c>
      <c r="AV2" s="378" t="s">
        <v>15</v>
      </c>
      <c r="AW2" s="378"/>
      <c r="AX2" s="258" t="s">
        <v>14</v>
      </c>
      <c r="AY2" s="378" t="s">
        <v>15</v>
      </c>
      <c r="AZ2" s="378"/>
    </row>
    <row r="3" spans="1:53" ht="16.8" x14ac:dyDescent="0.3">
      <c r="A3" s="259"/>
      <c r="B3" s="260"/>
      <c r="C3" s="258"/>
      <c r="D3" s="258" t="s">
        <v>70</v>
      </c>
      <c r="E3" s="258" t="s">
        <v>71</v>
      </c>
      <c r="F3" s="258"/>
      <c r="G3" s="258"/>
      <c r="H3" s="258" t="s">
        <v>70</v>
      </c>
      <c r="I3" s="258" t="s">
        <v>71</v>
      </c>
      <c r="J3" s="258"/>
      <c r="K3" s="258"/>
      <c r="L3" s="258" t="s">
        <v>70</v>
      </c>
      <c r="M3" s="258" t="s">
        <v>71</v>
      </c>
      <c r="N3" s="258"/>
      <c r="O3" s="258"/>
      <c r="P3" s="258" t="s">
        <v>70</v>
      </c>
      <c r="Q3" s="258" t="s">
        <v>71</v>
      </c>
      <c r="R3" s="258"/>
      <c r="S3" s="258"/>
      <c r="T3" s="258" t="s">
        <v>70</v>
      </c>
      <c r="U3" s="258" t="s">
        <v>71</v>
      </c>
      <c r="V3" s="258"/>
      <c r="W3" s="258"/>
      <c r="X3" s="258" t="s">
        <v>70</v>
      </c>
      <c r="Y3" s="258" t="s">
        <v>71</v>
      </c>
      <c r="Z3" s="258"/>
      <c r="AA3" s="258"/>
      <c r="AB3" s="258" t="s">
        <v>70</v>
      </c>
      <c r="AC3" s="258" t="s">
        <v>71</v>
      </c>
      <c r="AD3" s="258"/>
      <c r="AE3" s="258"/>
      <c r="AF3" s="258" t="s">
        <v>70</v>
      </c>
      <c r="AG3" s="258" t="s">
        <v>71</v>
      </c>
      <c r="AH3" s="258"/>
      <c r="AI3" s="258"/>
      <c r="AJ3" s="258" t="s">
        <v>70</v>
      </c>
      <c r="AK3" s="258" t="s">
        <v>71</v>
      </c>
      <c r="AL3" s="258"/>
      <c r="AM3" s="258"/>
      <c r="AN3" s="258" t="s">
        <v>70</v>
      </c>
      <c r="AO3" s="258" t="s">
        <v>71</v>
      </c>
      <c r="AP3" s="258"/>
      <c r="AQ3" s="258"/>
      <c r="AR3" s="258" t="s">
        <v>70</v>
      </c>
      <c r="AS3" s="258" t="s">
        <v>71</v>
      </c>
      <c r="AT3" s="258"/>
      <c r="AU3" s="258"/>
      <c r="AV3" s="258" t="s">
        <v>70</v>
      </c>
      <c r="AW3" s="258" t="s">
        <v>71</v>
      </c>
      <c r="AX3" s="258"/>
      <c r="AY3" s="258" t="s">
        <v>70</v>
      </c>
      <c r="AZ3" s="258" t="s">
        <v>71</v>
      </c>
    </row>
    <row r="4" spans="1:53" ht="16.8" x14ac:dyDescent="0.3">
      <c r="A4" s="261">
        <v>1</v>
      </c>
      <c r="B4" s="262" t="s">
        <v>20</v>
      </c>
      <c r="C4" s="263"/>
      <c r="D4" s="263"/>
      <c r="E4" s="263"/>
      <c r="F4" s="263"/>
      <c r="G4" s="263"/>
      <c r="H4" s="263"/>
      <c r="I4" s="263"/>
      <c r="J4" s="263"/>
      <c r="K4" s="264">
        <v>3.0030000000000001</v>
      </c>
      <c r="L4" s="264">
        <v>144.14400000000001</v>
      </c>
      <c r="M4" s="263"/>
      <c r="N4" s="263"/>
      <c r="O4" s="263"/>
      <c r="P4" s="263"/>
      <c r="Q4" s="265"/>
      <c r="R4" s="265"/>
      <c r="S4" s="263"/>
      <c r="T4" s="265"/>
      <c r="U4" s="263"/>
      <c r="V4" s="263"/>
      <c r="W4" s="263">
        <v>3.7069999999999999</v>
      </c>
      <c r="X4" s="263">
        <v>22.242000000000001</v>
      </c>
      <c r="Y4" s="263"/>
      <c r="Z4" s="263"/>
      <c r="AA4" s="263">
        <v>6.3680000000000003</v>
      </c>
      <c r="AB4" s="263">
        <v>76.415999999999997</v>
      </c>
      <c r="AC4" s="263"/>
      <c r="AD4" s="263"/>
      <c r="AE4" s="263"/>
      <c r="AF4" s="263"/>
      <c r="AG4" s="263"/>
      <c r="AH4" s="263"/>
      <c r="AI4" s="263">
        <v>0.56999999999999995</v>
      </c>
      <c r="AJ4" s="263"/>
      <c r="AK4" s="263">
        <v>21.923076923076923</v>
      </c>
      <c r="AL4" s="263"/>
      <c r="AM4" s="263">
        <v>1.5129999999999999</v>
      </c>
      <c r="AN4" s="263">
        <v>13.617000000000001</v>
      </c>
      <c r="AO4" s="263"/>
      <c r="AP4" s="263"/>
      <c r="AQ4" s="263"/>
      <c r="AR4" s="263"/>
      <c r="AS4" s="263"/>
      <c r="AT4" s="263"/>
      <c r="AU4" s="263">
        <v>2.35</v>
      </c>
      <c r="AV4" s="263">
        <v>20.577999999999999</v>
      </c>
      <c r="AW4" s="263"/>
      <c r="AX4" s="266">
        <v>17.510999999999999</v>
      </c>
      <c r="AY4" s="266">
        <v>276.99699999999996</v>
      </c>
      <c r="AZ4" s="266">
        <v>21.923076923076923</v>
      </c>
      <c r="BA4">
        <f>(AZ4+AY4)/AX4</f>
        <v>17.070417276173654</v>
      </c>
    </row>
    <row r="5" spans="1:53" ht="16.8" x14ac:dyDescent="0.3">
      <c r="A5" s="267">
        <v>2</v>
      </c>
      <c r="B5" s="268" t="s">
        <v>64</v>
      </c>
      <c r="C5" s="269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>
        <v>1E-3</v>
      </c>
      <c r="P5" s="270">
        <v>1E-3</v>
      </c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0"/>
      <c r="AH5" s="270"/>
      <c r="AI5" s="270">
        <v>1E-3</v>
      </c>
      <c r="AJ5" s="270">
        <v>2E-3</v>
      </c>
      <c r="AK5" s="270"/>
      <c r="AL5" s="270"/>
      <c r="AM5" s="270"/>
      <c r="AN5" s="270"/>
      <c r="AO5" s="270"/>
      <c r="AP5" s="270"/>
      <c r="AQ5" s="270"/>
      <c r="AR5" s="270"/>
      <c r="AS5" s="270"/>
      <c r="AT5" s="270"/>
      <c r="AU5" s="270"/>
      <c r="AV5" s="270"/>
      <c r="AW5" s="270"/>
      <c r="AX5" s="271">
        <v>2E-3</v>
      </c>
      <c r="AY5" s="271">
        <v>3.0000000000000001E-3</v>
      </c>
      <c r="AZ5" s="271">
        <v>0</v>
      </c>
      <c r="BA5">
        <f t="shared" ref="BA5:BA33" si="0">(AZ5+AY5)/AX5</f>
        <v>1.5</v>
      </c>
    </row>
    <row r="6" spans="1:53" ht="16.8" x14ac:dyDescent="0.3">
      <c r="A6" s="261">
        <v>3</v>
      </c>
      <c r="B6" s="272" t="s">
        <v>22</v>
      </c>
      <c r="C6" s="273">
        <v>0.13700000000000001</v>
      </c>
      <c r="D6" s="274">
        <v>0.92300000000000004</v>
      </c>
      <c r="E6" s="274">
        <v>1.1611111111111112</v>
      </c>
      <c r="F6" s="274"/>
      <c r="G6" s="274">
        <v>0.19500000000000001</v>
      </c>
      <c r="H6" s="274">
        <v>1.2929999999999999</v>
      </c>
      <c r="I6" s="274">
        <v>1.4714285714285715</v>
      </c>
      <c r="J6" s="274"/>
      <c r="K6" s="274">
        <v>0.255</v>
      </c>
      <c r="L6" s="274">
        <v>1.7569999999999999</v>
      </c>
      <c r="M6" s="274">
        <v>2.2944444444444443</v>
      </c>
      <c r="N6" s="274"/>
      <c r="O6" s="274">
        <v>0.75700000000000001</v>
      </c>
      <c r="P6" s="275">
        <v>5.2809999999999997</v>
      </c>
      <c r="Q6" s="265">
        <v>6.7771428571428576</v>
      </c>
      <c r="R6" s="373"/>
      <c r="S6" s="273">
        <v>0.435</v>
      </c>
      <c r="T6" s="276">
        <v>2.8860000000000001</v>
      </c>
      <c r="U6" s="274">
        <v>8.9875000000000007</v>
      </c>
      <c r="V6" s="274"/>
      <c r="W6" s="274">
        <v>0.27500000000000002</v>
      </c>
      <c r="X6" s="274">
        <v>1.788</v>
      </c>
      <c r="Y6" s="274">
        <v>2.4888888888888889</v>
      </c>
      <c r="Z6" s="274"/>
      <c r="AA6" s="274">
        <v>0.61499999999999999</v>
      </c>
      <c r="AB6" s="274">
        <v>4.0380000000000003</v>
      </c>
      <c r="AC6" s="274">
        <v>5.7166666666666668</v>
      </c>
      <c r="AD6" s="274"/>
      <c r="AE6" s="274">
        <v>0.72699999999999998</v>
      </c>
      <c r="AF6" s="274">
        <v>4.827</v>
      </c>
      <c r="AG6" s="274">
        <v>9.615384615384615</v>
      </c>
      <c r="AH6" s="274"/>
      <c r="AI6" s="274">
        <v>0.40100000000000002</v>
      </c>
      <c r="AJ6" s="274">
        <v>2.7160000000000002</v>
      </c>
      <c r="AK6" s="274">
        <v>5.3384615384615381</v>
      </c>
      <c r="AL6" s="274"/>
      <c r="AM6" s="274">
        <v>0.34100000000000003</v>
      </c>
      <c r="AN6" s="274">
        <v>2.2890000000000001</v>
      </c>
      <c r="AO6" s="274">
        <v>3.3166666666666669</v>
      </c>
      <c r="AP6" s="274"/>
      <c r="AQ6" s="274"/>
      <c r="AR6" s="274"/>
      <c r="AS6" s="274"/>
      <c r="AT6" s="274"/>
      <c r="AU6" s="274">
        <v>0.96399999999999997</v>
      </c>
      <c r="AV6" s="274">
        <v>6.2679999999999998</v>
      </c>
      <c r="AW6" s="263">
        <v>8.5333333333333332</v>
      </c>
      <c r="AX6" s="271">
        <v>5.1020000000000003</v>
      </c>
      <c r="AY6" s="271">
        <v>34.066000000000003</v>
      </c>
      <c r="AZ6" s="271">
        <v>55.701028693528691</v>
      </c>
      <c r="BA6">
        <f t="shared" si="0"/>
        <v>17.594478379758659</v>
      </c>
    </row>
    <row r="7" spans="1:53" ht="16.8" x14ac:dyDescent="0.3">
      <c r="A7" s="261">
        <v>4</v>
      </c>
      <c r="B7" s="272" t="s">
        <v>23</v>
      </c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>
        <v>0</v>
      </c>
      <c r="P7" s="277">
        <v>2E-3</v>
      </c>
      <c r="Q7" s="277"/>
      <c r="R7" s="277"/>
      <c r="S7" s="277">
        <v>2E-3</v>
      </c>
      <c r="T7" s="277"/>
      <c r="U7" s="277">
        <v>2.5000000000000001E-2</v>
      </c>
      <c r="V7" s="277"/>
      <c r="W7" s="277">
        <v>4.0000000000000001E-3</v>
      </c>
      <c r="X7" s="277">
        <v>1.2999999999999999E-2</v>
      </c>
      <c r="Y7" s="277"/>
      <c r="Z7" s="277"/>
      <c r="AA7" s="277">
        <v>1.159</v>
      </c>
      <c r="AB7" s="277">
        <v>10.601000000000001</v>
      </c>
      <c r="AC7" s="277"/>
      <c r="AD7" s="277"/>
      <c r="AE7" s="277"/>
      <c r="AF7" s="277"/>
      <c r="AG7" s="277"/>
      <c r="AH7" s="277"/>
      <c r="AI7" s="277">
        <v>1.7999999999999999E-2</v>
      </c>
      <c r="AJ7" s="277"/>
      <c r="AK7" s="277">
        <v>0.13846153846153847</v>
      </c>
      <c r="AL7" s="277"/>
      <c r="AM7" s="277">
        <v>1E-3</v>
      </c>
      <c r="AN7" s="277"/>
      <c r="AO7" s="277">
        <v>2.7777777777777776E-2</v>
      </c>
      <c r="AP7" s="277"/>
      <c r="AQ7" s="277">
        <v>2E-3</v>
      </c>
      <c r="AR7" s="277">
        <v>1E-3</v>
      </c>
      <c r="AS7" s="277"/>
      <c r="AT7" s="277"/>
      <c r="AU7" s="277">
        <v>2.3E-2</v>
      </c>
      <c r="AV7" s="277">
        <v>0.33600000000000002</v>
      </c>
      <c r="AW7" s="277"/>
      <c r="AX7" s="271">
        <v>1.2089999999999999</v>
      </c>
      <c r="AY7" s="271">
        <v>10.953000000000001</v>
      </c>
      <c r="AZ7" s="271">
        <v>0.19123931623931623</v>
      </c>
      <c r="BA7">
        <f t="shared" si="0"/>
        <v>9.2177330986264021</v>
      </c>
    </row>
    <row r="8" spans="1:53" ht="16.8" x14ac:dyDescent="0.3">
      <c r="A8" s="261">
        <v>5</v>
      </c>
      <c r="B8" s="272" t="s">
        <v>57</v>
      </c>
      <c r="C8" s="263"/>
      <c r="D8" s="263"/>
      <c r="E8" s="263"/>
      <c r="F8" s="263"/>
      <c r="G8" s="263"/>
      <c r="H8" s="263"/>
      <c r="I8" s="263"/>
      <c r="J8" s="263"/>
      <c r="K8" s="263">
        <v>0.34200000000000003</v>
      </c>
      <c r="L8" s="263">
        <v>1.1279999999999999</v>
      </c>
      <c r="M8" s="263"/>
      <c r="N8" s="263"/>
      <c r="O8" s="263"/>
      <c r="P8" s="263"/>
      <c r="Q8" s="265"/>
      <c r="R8" s="265"/>
      <c r="S8" s="263">
        <v>2.4</v>
      </c>
      <c r="T8" s="277">
        <v>3.3860000000000001</v>
      </c>
      <c r="U8" s="265">
        <v>113.9875</v>
      </c>
      <c r="V8" s="265"/>
      <c r="W8" s="263">
        <v>1.6E-2</v>
      </c>
      <c r="X8" s="263">
        <v>3.5999999999999997E-2</v>
      </c>
      <c r="Y8" s="263"/>
      <c r="Z8" s="263"/>
      <c r="AA8" s="263">
        <v>5.0999999999999996</v>
      </c>
      <c r="AB8" s="263">
        <v>40.484000000000002</v>
      </c>
      <c r="AC8" s="263">
        <v>13.416666666666666</v>
      </c>
      <c r="AD8" s="263"/>
      <c r="AE8" s="263"/>
      <c r="AF8" s="263"/>
      <c r="AG8" s="263"/>
      <c r="AH8" s="263"/>
      <c r="AI8" s="263">
        <v>1.196</v>
      </c>
      <c r="AJ8" s="263">
        <v>0.83299999999999996</v>
      </c>
      <c r="AK8" s="263">
        <v>35.9</v>
      </c>
      <c r="AL8" s="263"/>
      <c r="AM8" s="263">
        <v>1.486</v>
      </c>
      <c r="AN8" s="263">
        <v>5.5519999999999996</v>
      </c>
      <c r="AO8" s="263">
        <v>5.9722222222222223</v>
      </c>
      <c r="AP8" s="263"/>
      <c r="AQ8" s="263"/>
      <c r="AR8" s="263"/>
      <c r="AS8" s="263"/>
      <c r="AT8" s="263"/>
      <c r="AU8" s="263">
        <v>2.5579999999999998</v>
      </c>
      <c r="AV8" s="263">
        <v>8.1349999999999998</v>
      </c>
      <c r="AW8" s="263">
        <v>4.8499999999999996</v>
      </c>
      <c r="AX8" s="271">
        <v>13.098000000000001</v>
      </c>
      <c r="AY8" s="271">
        <v>59.553999999999995</v>
      </c>
      <c r="AZ8" s="271">
        <v>174.1263888888889</v>
      </c>
      <c r="BA8">
        <f t="shared" si="0"/>
        <v>17.84092142990448</v>
      </c>
    </row>
    <row r="9" spans="1:53" ht="16.8" x14ac:dyDescent="0.3">
      <c r="A9" s="267">
        <v>6</v>
      </c>
      <c r="B9" s="278" t="s">
        <v>29</v>
      </c>
      <c r="C9" s="279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1"/>
      <c r="Q9" s="282"/>
      <c r="R9" s="373"/>
      <c r="S9" s="279"/>
      <c r="T9" s="283"/>
      <c r="U9" s="280"/>
      <c r="V9" s="280"/>
      <c r="W9" s="280">
        <v>0.89500000000000002</v>
      </c>
      <c r="X9" s="280">
        <v>7.9710000000000001</v>
      </c>
      <c r="Y9" s="280"/>
      <c r="Z9" s="280"/>
      <c r="AA9" s="280">
        <v>8.7360000000000007</v>
      </c>
      <c r="AB9" s="280">
        <v>83.277000000000001</v>
      </c>
      <c r="AC9" s="280"/>
      <c r="AD9" s="280"/>
      <c r="AE9" s="280"/>
      <c r="AF9" s="280"/>
      <c r="AG9" s="280"/>
      <c r="AH9" s="280"/>
      <c r="AI9" s="280">
        <v>4.12</v>
      </c>
      <c r="AJ9" s="280">
        <v>38.761000000000003</v>
      </c>
      <c r="AK9" s="280"/>
      <c r="AL9" s="280"/>
      <c r="AM9" s="280"/>
      <c r="AN9" s="280"/>
      <c r="AO9" s="280"/>
      <c r="AP9" s="280"/>
      <c r="AQ9" s="280"/>
      <c r="AR9" s="280"/>
      <c r="AS9" s="280"/>
      <c r="AT9" s="280"/>
      <c r="AU9" s="280">
        <v>6.234</v>
      </c>
      <c r="AV9" s="280">
        <v>59.328000000000003</v>
      </c>
      <c r="AW9" s="284"/>
      <c r="AX9" s="271">
        <v>19.984999999999999</v>
      </c>
      <c r="AY9" s="271">
        <v>189.33700000000002</v>
      </c>
      <c r="AZ9" s="271">
        <v>0</v>
      </c>
      <c r="BA9">
        <f t="shared" si="0"/>
        <v>9.4739554665999517</v>
      </c>
    </row>
    <row r="10" spans="1:53" ht="16.8" x14ac:dyDescent="0.3">
      <c r="A10" s="261">
        <v>7</v>
      </c>
      <c r="B10" s="272" t="s">
        <v>30</v>
      </c>
      <c r="C10" s="263"/>
      <c r="D10" s="263"/>
      <c r="E10" s="263"/>
      <c r="F10" s="263"/>
      <c r="G10" s="263"/>
      <c r="H10" s="263"/>
      <c r="I10" s="263"/>
      <c r="J10" s="263"/>
      <c r="K10" s="263">
        <v>5.5E-2</v>
      </c>
      <c r="L10" s="263">
        <v>0.1</v>
      </c>
      <c r="M10" s="263">
        <v>3.3333333333333333E-2</v>
      </c>
      <c r="N10" s="263"/>
      <c r="O10" s="263">
        <v>1E-3</v>
      </c>
      <c r="P10" s="263"/>
      <c r="Q10" s="265">
        <v>5.7142857142857143E-3</v>
      </c>
      <c r="R10" s="265"/>
      <c r="S10" s="263">
        <v>5.0999999999999997E-2</v>
      </c>
      <c r="T10" s="265"/>
      <c r="U10" s="263">
        <v>0.32500000000000001</v>
      </c>
      <c r="V10" s="263"/>
      <c r="W10" s="263"/>
      <c r="X10" s="263"/>
      <c r="Y10" s="263"/>
      <c r="Z10" s="263"/>
      <c r="AA10" s="263">
        <v>1.542</v>
      </c>
      <c r="AB10" s="263">
        <v>16.59</v>
      </c>
      <c r="AC10" s="263"/>
      <c r="AD10" s="263"/>
      <c r="AE10" s="263"/>
      <c r="AF10" s="263"/>
      <c r="AG10" s="263"/>
      <c r="AH10" s="263"/>
      <c r="AI10" s="263">
        <v>0.08</v>
      </c>
      <c r="AJ10" s="263">
        <v>0.84399999999999997</v>
      </c>
      <c r="AK10" s="263">
        <v>0.41538461538461541</v>
      </c>
      <c r="AL10" s="263"/>
      <c r="AM10" s="263">
        <v>0.17</v>
      </c>
      <c r="AN10" s="263"/>
      <c r="AO10" s="263">
        <v>0.26111111111111113</v>
      </c>
      <c r="AP10" s="263"/>
      <c r="AQ10" s="263"/>
      <c r="AR10" s="263"/>
      <c r="AS10" s="263"/>
      <c r="AT10" s="263"/>
      <c r="AU10" s="263">
        <v>7.9000000000000001E-2</v>
      </c>
      <c r="AV10" s="263">
        <v>8.2000000000000003E-2</v>
      </c>
      <c r="AW10" s="263">
        <v>3.3333333333333333E-2</v>
      </c>
      <c r="AX10" s="271">
        <v>1.978</v>
      </c>
      <c r="AY10" s="271">
        <v>17.616000000000003</v>
      </c>
      <c r="AZ10" s="271">
        <v>1.0738766788766789</v>
      </c>
      <c r="BA10">
        <f t="shared" si="0"/>
        <v>9.4488759751651585</v>
      </c>
    </row>
    <row r="11" spans="1:53" ht="16.8" x14ac:dyDescent="0.3">
      <c r="A11" s="261">
        <v>8</v>
      </c>
      <c r="B11" s="272" t="s">
        <v>31</v>
      </c>
      <c r="C11" s="285"/>
      <c r="D11" s="285"/>
      <c r="E11" s="285"/>
      <c r="F11" s="285"/>
      <c r="G11" s="285">
        <v>9.2999999999999999E-2</v>
      </c>
      <c r="H11" s="285"/>
      <c r="I11" s="285">
        <v>4.2990000000000004</v>
      </c>
      <c r="J11" s="285"/>
      <c r="K11" s="285">
        <v>0.114</v>
      </c>
      <c r="L11" s="285">
        <v>0.52</v>
      </c>
      <c r="M11" s="285">
        <v>3.9020000000000001</v>
      </c>
      <c r="N11" s="285"/>
      <c r="O11" s="285">
        <v>5.0000000000000001E-3</v>
      </c>
      <c r="P11" s="285"/>
      <c r="Q11" s="265">
        <v>0.33100000000000002</v>
      </c>
      <c r="R11" s="265"/>
      <c r="S11" s="285">
        <v>2.3E-2</v>
      </c>
      <c r="T11" s="286"/>
      <c r="U11" s="285">
        <v>0.54700000000000004</v>
      </c>
      <c r="V11" s="285"/>
      <c r="W11" s="285"/>
      <c r="X11" s="285"/>
      <c r="Y11" s="285"/>
      <c r="Z11" s="285"/>
      <c r="AA11" s="285">
        <v>5.1999999999999998E-2</v>
      </c>
      <c r="AB11" s="285">
        <v>0.77900000000000003</v>
      </c>
      <c r="AC11" s="285"/>
      <c r="AD11" s="285"/>
      <c r="AE11" s="285"/>
      <c r="AF11" s="285"/>
      <c r="AG11" s="285"/>
      <c r="AH11" s="285"/>
      <c r="AI11" s="285">
        <v>2.3E-2</v>
      </c>
      <c r="AJ11" s="285"/>
      <c r="AK11" s="285">
        <v>1.319</v>
      </c>
      <c r="AL11" s="285"/>
      <c r="AM11" s="285"/>
      <c r="AN11" s="285"/>
      <c r="AO11" s="285"/>
      <c r="AP11" s="285"/>
      <c r="AQ11" s="285"/>
      <c r="AR11" s="285"/>
      <c r="AS11" s="285"/>
      <c r="AT11" s="285"/>
      <c r="AU11" s="285">
        <v>6.4000000000000001E-2</v>
      </c>
      <c r="AV11" s="285"/>
      <c r="AW11" s="285">
        <v>5.2999999999999999E-2</v>
      </c>
      <c r="AX11" s="271">
        <v>0.37400000000000005</v>
      </c>
      <c r="AY11" s="271">
        <v>1.2989999999999999</v>
      </c>
      <c r="AZ11" s="271">
        <v>10.451000000000001</v>
      </c>
      <c r="BA11">
        <f t="shared" si="0"/>
        <v>31.417112299465234</v>
      </c>
    </row>
    <row r="12" spans="1:53" ht="16.8" x14ac:dyDescent="0.3">
      <c r="A12" s="267">
        <v>9</v>
      </c>
      <c r="B12" s="278" t="s">
        <v>32</v>
      </c>
      <c r="C12" s="287">
        <v>2.9999999999999997E-5</v>
      </c>
      <c r="D12" s="288">
        <v>1.4999999999999999E-4</v>
      </c>
      <c r="E12" s="288"/>
      <c r="F12" s="288"/>
      <c r="G12" s="288">
        <v>1.075E-3</v>
      </c>
      <c r="H12" s="288"/>
      <c r="I12" s="288">
        <v>6.2833333333333338E-2</v>
      </c>
      <c r="J12" s="288"/>
      <c r="K12" s="288">
        <v>1.307E-3</v>
      </c>
      <c r="L12" s="288">
        <v>1.0549999999999999E-3</v>
      </c>
      <c r="M12" s="288">
        <v>1.4088888888888889E-2</v>
      </c>
      <c r="N12" s="288"/>
      <c r="O12" s="288">
        <v>1.8929999999999999E-3</v>
      </c>
      <c r="P12" s="289">
        <v>1.0000000000000001E-5</v>
      </c>
      <c r="Q12" s="282">
        <v>0.10626857142857143</v>
      </c>
      <c r="R12" s="373"/>
      <c r="S12" s="287">
        <v>2.8319999999999999E-3</v>
      </c>
      <c r="T12" s="290"/>
      <c r="U12" s="288">
        <v>1.18625E-2</v>
      </c>
      <c r="V12" s="288"/>
      <c r="W12" s="288">
        <v>1E-4</v>
      </c>
      <c r="X12" s="288"/>
      <c r="Y12" s="288">
        <v>5.5555555555555556E-4</v>
      </c>
      <c r="Z12" s="288"/>
      <c r="AA12" s="288">
        <v>7.6340000000000002E-3</v>
      </c>
      <c r="AB12" s="288">
        <v>5.8112000000000004E-2</v>
      </c>
      <c r="AC12" s="288"/>
      <c r="AD12" s="288"/>
      <c r="AE12" s="288"/>
      <c r="AF12" s="288"/>
      <c r="AG12" s="288"/>
      <c r="AH12" s="288"/>
      <c r="AI12" s="288">
        <v>1.1462999999999999E-2</v>
      </c>
      <c r="AJ12" s="288">
        <v>1.5397000000000001E-2</v>
      </c>
      <c r="AK12" s="288">
        <v>0.65047692307692306</v>
      </c>
      <c r="AL12" s="288"/>
      <c r="AM12" s="288">
        <v>1.4999999999999999E-5</v>
      </c>
      <c r="AN12" s="288"/>
      <c r="AO12" s="288">
        <v>3.3333333333333332E-4</v>
      </c>
      <c r="AP12" s="288"/>
      <c r="AQ12" s="288">
        <v>2.0515000000000002E-2</v>
      </c>
      <c r="AR12" s="288">
        <v>1.6000000000000001E-3</v>
      </c>
      <c r="AS12" s="288">
        <v>7.5722222222222232E-2</v>
      </c>
      <c r="AT12" s="288"/>
      <c r="AU12" s="288">
        <v>5.5716999999999996E-2</v>
      </c>
      <c r="AV12" s="288">
        <v>0.13425700000000002</v>
      </c>
      <c r="AW12" s="291">
        <v>0.10126666666666667</v>
      </c>
      <c r="AX12" s="271">
        <v>0.10258100000000001</v>
      </c>
      <c r="AY12" s="271">
        <v>0.21058100000000002</v>
      </c>
      <c r="AZ12" s="271">
        <v>1.0234079945054946</v>
      </c>
      <c r="BA12">
        <f t="shared" si="0"/>
        <v>12.029410850990869</v>
      </c>
    </row>
    <row r="13" spans="1:53" ht="16.8" x14ac:dyDescent="0.3">
      <c r="A13" s="261">
        <v>10</v>
      </c>
      <c r="B13" s="272" t="s">
        <v>33</v>
      </c>
      <c r="C13" s="263"/>
      <c r="D13" s="263"/>
      <c r="E13" s="263"/>
      <c r="F13" s="263"/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5"/>
      <c r="R13" s="265"/>
      <c r="S13" s="263"/>
      <c r="T13" s="265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3"/>
      <c r="AO13" s="263"/>
      <c r="AP13" s="263"/>
      <c r="AQ13" s="263"/>
      <c r="AR13" s="263"/>
      <c r="AS13" s="263"/>
      <c r="AT13" s="263"/>
      <c r="AU13" s="263">
        <v>1.2</v>
      </c>
      <c r="AV13" s="263">
        <v>4.8099999999999996</v>
      </c>
      <c r="AW13" s="263">
        <v>4.3111111111111109</v>
      </c>
      <c r="AX13" s="271">
        <v>1.2</v>
      </c>
      <c r="AY13" s="271">
        <v>4.8099999999999996</v>
      </c>
      <c r="AZ13" s="271">
        <v>4.3111111111111109</v>
      </c>
      <c r="BA13">
        <f t="shared" si="0"/>
        <v>7.6009259259259254</v>
      </c>
    </row>
    <row r="14" spans="1:53" ht="16.8" x14ac:dyDescent="0.3">
      <c r="A14" s="261">
        <v>11</v>
      </c>
      <c r="B14" s="272" t="s">
        <v>34</v>
      </c>
      <c r="C14" s="263">
        <v>1.6E-2</v>
      </c>
      <c r="D14" s="263"/>
      <c r="E14" s="263">
        <v>4.4444444444444446E-2</v>
      </c>
      <c r="F14" s="263"/>
      <c r="G14" s="263">
        <v>3.4000000000000002E-2</v>
      </c>
      <c r="H14" s="263"/>
      <c r="I14" s="263">
        <v>0.54285714285714282</v>
      </c>
      <c r="J14" s="263"/>
      <c r="K14" s="263">
        <v>10.145</v>
      </c>
      <c r="L14" s="263">
        <v>131.05799999999999</v>
      </c>
      <c r="M14" s="263"/>
      <c r="N14" s="263"/>
      <c r="O14" s="263">
        <v>8.4000000000000005E-2</v>
      </c>
      <c r="P14" s="263"/>
      <c r="Q14" s="265">
        <v>4.1314285714285717</v>
      </c>
      <c r="R14" s="265"/>
      <c r="S14" s="263">
        <v>0.25900000000000001</v>
      </c>
      <c r="T14" s="265"/>
      <c r="U14" s="263">
        <v>8.0749999999999993</v>
      </c>
      <c r="V14" s="263"/>
      <c r="W14" s="263">
        <v>3.133</v>
      </c>
      <c r="X14" s="263">
        <v>23.178999999999998</v>
      </c>
      <c r="Y14" s="263"/>
      <c r="Z14" s="263"/>
      <c r="AA14" s="263">
        <v>12.663</v>
      </c>
      <c r="AB14" s="263">
        <v>118.376</v>
      </c>
      <c r="AC14" s="263"/>
      <c r="AD14" s="263"/>
      <c r="AE14" s="263">
        <v>1.4E-2</v>
      </c>
      <c r="AF14" s="263"/>
      <c r="AG14" s="263">
        <v>4.6153846153846156E-2</v>
      </c>
      <c r="AH14" s="263"/>
      <c r="AI14" s="263">
        <v>5.0730000000000004</v>
      </c>
      <c r="AJ14" s="263"/>
      <c r="AK14" s="263">
        <v>165.27692307692308</v>
      </c>
      <c r="AL14" s="263"/>
      <c r="AM14" s="263">
        <v>2.9550000000000001</v>
      </c>
      <c r="AN14" s="263">
        <v>23.978999999999999</v>
      </c>
      <c r="AO14" s="263"/>
      <c r="AP14" s="263"/>
      <c r="AQ14" s="263"/>
      <c r="AR14" s="263"/>
      <c r="AS14" s="263"/>
      <c r="AT14" s="263"/>
      <c r="AU14" s="263">
        <v>2.3319999999999999</v>
      </c>
      <c r="AV14" s="263">
        <v>28.300999999999998</v>
      </c>
      <c r="AW14" s="263"/>
      <c r="AX14" s="271">
        <v>36.707999999999998</v>
      </c>
      <c r="AY14" s="271">
        <v>324.89299999999997</v>
      </c>
      <c r="AZ14" s="271">
        <v>178.11680708180708</v>
      </c>
      <c r="BA14">
        <f t="shared" si="0"/>
        <v>13.70300226331609</v>
      </c>
    </row>
    <row r="15" spans="1:53" ht="16.8" x14ac:dyDescent="0.3">
      <c r="A15" s="267">
        <v>12</v>
      </c>
      <c r="B15" s="278" t="s">
        <v>35</v>
      </c>
      <c r="C15" s="287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9"/>
      <c r="Q15" s="282"/>
      <c r="R15" s="373"/>
      <c r="S15" s="287"/>
      <c r="T15" s="290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9"/>
      <c r="AI15" s="289"/>
      <c r="AJ15" s="291"/>
      <c r="AK15" s="291"/>
      <c r="AL15" s="291"/>
      <c r="AM15" s="291"/>
      <c r="AN15" s="291"/>
      <c r="AO15" s="291"/>
      <c r="AP15" s="291"/>
      <c r="AQ15" s="291"/>
      <c r="AR15" s="291"/>
      <c r="AS15" s="291"/>
      <c r="AT15" s="291"/>
      <c r="AU15" s="291">
        <v>53.260000000000005</v>
      </c>
      <c r="AV15" s="291">
        <v>7.6999999999999999E-2</v>
      </c>
      <c r="AW15" s="291">
        <v>44.840277777777779</v>
      </c>
      <c r="AX15" s="271">
        <v>53.260000000000005</v>
      </c>
      <c r="AY15" s="271">
        <v>7.6999999999999999E-2</v>
      </c>
      <c r="AZ15" s="271">
        <v>44.840277777777779</v>
      </c>
      <c r="BA15">
        <f t="shared" si="0"/>
        <v>0.84335857637584999</v>
      </c>
    </row>
    <row r="16" spans="1:53" ht="16.8" x14ac:dyDescent="0.3">
      <c r="A16" s="261">
        <v>13</v>
      </c>
      <c r="B16" s="272" t="s">
        <v>37</v>
      </c>
      <c r="C16" s="263"/>
      <c r="D16" s="263"/>
      <c r="E16" s="263"/>
      <c r="F16" s="263"/>
      <c r="G16" s="263">
        <v>2.1000000000000001E-2</v>
      </c>
      <c r="H16" s="263">
        <v>9.9000000000000005E-2</v>
      </c>
      <c r="I16" s="263"/>
      <c r="J16" s="263"/>
      <c r="K16" s="263">
        <v>1.4930000000000001</v>
      </c>
      <c r="L16" s="263">
        <v>19.376000000000001</v>
      </c>
      <c r="M16" s="263"/>
      <c r="N16" s="263"/>
      <c r="O16" s="263">
        <v>2.1000000000000001E-2</v>
      </c>
      <c r="P16" s="263">
        <v>0.94499999999999995</v>
      </c>
      <c r="Q16" s="265"/>
      <c r="R16" s="265"/>
      <c r="S16" s="263">
        <v>0.94099999999999995</v>
      </c>
      <c r="T16" s="265">
        <v>7.88</v>
      </c>
      <c r="U16" s="263"/>
      <c r="V16" s="263"/>
      <c r="W16" s="263">
        <v>0.112</v>
      </c>
      <c r="X16" s="263">
        <v>0.50800000000000001</v>
      </c>
      <c r="Y16" s="263"/>
      <c r="Z16" s="263"/>
      <c r="AA16" s="263">
        <v>20.736000000000001</v>
      </c>
      <c r="AB16" s="263">
        <v>270.79700000000003</v>
      </c>
      <c r="AC16" s="263"/>
      <c r="AD16" s="263"/>
      <c r="AE16" s="263">
        <v>1.7999999999999999E-2</v>
      </c>
      <c r="AF16" s="263">
        <v>0.08</v>
      </c>
      <c r="AG16" s="263"/>
      <c r="AH16" s="263"/>
      <c r="AI16" s="263">
        <v>3.6080000000000001</v>
      </c>
      <c r="AJ16" s="263">
        <v>33.069000000000003</v>
      </c>
      <c r="AK16" s="263"/>
      <c r="AL16" s="263"/>
      <c r="AM16" s="263">
        <v>0.24399999999999999</v>
      </c>
      <c r="AN16" s="263">
        <v>2.8959999999999999</v>
      </c>
      <c r="AO16" s="263"/>
      <c r="AP16" s="263"/>
      <c r="AQ16" s="263"/>
      <c r="AR16" s="263"/>
      <c r="AS16" s="263"/>
      <c r="AT16" s="263"/>
      <c r="AU16" s="263">
        <v>8.5340000000000007</v>
      </c>
      <c r="AV16" s="263">
        <v>77.08</v>
      </c>
      <c r="AW16" s="263"/>
      <c r="AX16" s="271">
        <v>35.728000000000002</v>
      </c>
      <c r="AY16" s="271">
        <v>412.73</v>
      </c>
      <c r="AZ16" s="271">
        <v>0</v>
      </c>
      <c r="BA16">
        <f t="shared" si="0"/>
        <v>11.552004030452306</v>
      </c>
    </row>
    <row r="17" spans="1:53" ht="16.8" x14ac:dyDescent="0.3">
      <c r="A17" s="267">
        <v>14</v>
      </c>
      <c r="B17" s="278" t="s">
        <v>38</v>
      </c>
      <c r="C17" s="269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  <c r="AA17" s="270"/>
      <c r="AB17" s="270"/>
      <c r="AC17" s="270"/>
      <c r="AD17" s="270"/>
      <c r="AE17" s="270"/>
      <c r="AF17" s="270"/>
      <c r="AG17" s="270"/>
      <c r="AH17" s="270"/>
      <c r="AI17" s="270"/>
      <c r="AJ17" s="270"/>
      <c r="AK17" s="270"/>
      <c r="AL17" s="270"/>
      <c r="AM17" s="270"/>
      <c r="AN17" s="270"/>
      <c r="AO17" s="270"/>
      <c r="AP17" s="270"/>
      <c r="AQ17" s="270"/>
      <c r="AR17" s="270"/>
      <c r="AS17" s="270"/>
      <c r="AT17" s="270"/>
      <c r="AU17" s="270">
        <v>11.41</v>
      </c>
      <c r="AV17" s="270">
        <v>61.69</v>
      </c>
      <c r="AW17" s="270">
        <v>0.36441666666666667</v>
      </c>
      <c r="AX17" s="271">
        <v>11.41</v>
      </c>
      <c r="AY17" s="271">
        <v>61.69</v>
      </c>
      <c r="AZ17" s="271">
        <v>0.36441666666666667</v>
      </c>
      <c r="BA17">
        <f t="shared" si="0"/>
        <v>5.4385991820040891</v>
      </c>
    </row>
    <row r="18" spans="1:53" ht="16.8" x14ac:dyDescent="0.3">
      <c r="A18" s="292">
        <v>15</v>
      </c>
      <c r="B18" s="293" t="s">
        <v>39</v>
      </c>
      <c r="C18" s="294">
        <v>1E-3</v>
      </c>
      <c r="D18" s="295"/>
      <c r="E18" s="295">
        <v>5.5555555555555558E-3</v>
      </c>
      <c r="F18" s="295"/>
      <c r="G18" s="295">
        <v>1E-3</v>
      </c>
      <c r="H18" s="295"/>
      <c r="I18" s="295">
        <v>5.2380952380952387E-3</v>
      </c>
      <c r="J18" s="295"/>
      <c r="K18" s="295"/>
      <c r="L18" s="295"/>
      <c r="M18" s="295"/>
      <c r="N18" s="295"/>
      <c r="O18" s="295">
        <v>4.7000000000000002E-3</v>
      </c>
      <c r="P18" s="296"/>
      <c r="Q18" s="297">
        <v>7.5428571428571428E-3</v>
      </c>
      <c r="R18" s="373"/>
      <c r="S18" s="294">
        <v>7.1999999999999998E-3</v>
      </c>
      <c r="T18" s="298"/>
      <c r="U18" s="295">
        <v>5.1200000000000002E-2</v>
      </c>
      <c r="V18" s="295"/>
      <c r="W18" s="295"/>
      <c r="X18" s="295"/>
      <c r="Y18" s="295"/>
      <c r="Z18" s="295"/>
      <c r="AA18" s="295">
        <v>2.2499999999999999E-2</v>
      </c>
      <c r="AB18" s="295">
        <v>3.48E-3</v>
      </c>
      <c r="AC18" s="295"/>
      <c r="AD18" s="295"/>
      <c r="AE18" s="295"/>
      <c r="AF18" s="295"/>
      <c r="AG18" s="295"/>
      <c r="AH18" s="295"/>
      <c r="AI18" s="295">
        <v>1.04E-2</v>
      </c>
      <c r="AJ18" s="295"/>
      <c r="AK18" s="295">
        <v>1.7614615384615384E-3</v>
      </c>
      <c r="AL18" s="295"/>
      <c r="AM18" s="295"/>
      <c r="AN18" s="295"/>
      <c r="AO18" s="295"/>
      <c r="AP18" s="295"/>
      <c r="AQ18" s="295"/>
      <c r="AR18" s="295"/>
      <c r="AS18" s="295"/>
      <c r="AT18" s="295"/>
      <c r="AU18" s="295">
        <v>2.2530000000000001E-2</v>
      </c>
      <c r="AV18" s="295">
        <v>2.5000000000000001E-3</v>
      </c>
      <c r="AW18" s="299">
        <v>0.10220338888888889</v>
      </c>
      <c r="AX18" s="271">
        <v>6.9330000000000003E-2</v>
      </c>
      <c r="AY18" s="271">
        <v>5.9800000000000001E-3</v>
      </c>
      <c r="AZ18" s="271">
        <v>0.17350135836385838</v>
      </c>
      <c r="BA18">
        <f t="shared" si="0"/>
        <v>2.5887978993777354</v>
      </c>
    </row>
    <row r="19" spans="1:53" ht="16.8" x14ac:dyDescent="0.3">
      <c r="A19" s="261">
        <v>16</v>
      </c>
      <c r="B19" s="272" t="s">
        <v>40</v>
      </c>
      <c r="C19" s="263">
        <v>3.024</v>
      </c>
      <c r="D19" s="263"/>
      <c r="E19" s="263">
        <v>2.547777777777778E-2</v>
      </c>
      <c r="F19" s="263"/>
      <c r="G19" s="263">
        <v>1.9810000000000001</v>
      </c>
      <c r="H19" s="263"/>
      <c r="I19" s="263">
        <v>0.11291428571428572</v>
      </c>
      <c r="J19" s="263"/>
      <c r="K19" s="263">
        <v>4.5999999999999999E-2</v>
      </c>
      <c r="L19" s="263"/>
      <c r="M19" s="263">
        <v>1.5105555555555556E-4</v>
      </c>
      <c r="N19" s="263"/>
      <c r="O19" s="263">
        <v>4.3070000000000004</v>
      </c>
      <c r="P19" s="263"/>
      <c r="Q19" s="265">
        <v>0.13844000000000001</v>
      </c>
      <c r="R19" s="265"/>
      <c r="S19" s="263"/>
      <c r="T19" s="265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>
        <v>2.1219999999999999</v>
      </c>
      <c r="AF19" s="263"/>
      <c r="AG19" s="263">
        <v>5.3384615384615385E-2</v>
      </c>
      <c r="AH19" s="263"/>
      <c r="AI19" s="263">
        <v>0.377</v>
      </c>
      <c r="AJ19" s="263"/>
      <c r="AK19" s="263">
        <v>2.030769230769231E-3</v>
      </c>
      <c r="AL19" s="263"/>
      <c r="AM19" s="263"/>
      <c r="AN19" s="263"/>
      <c r="AO19" s="263"/>
      <c r="AP19" s="263"/>
      <c r="AQ19" s="263"/>
      <c r="AR19" s="263"/>
      <c r="AS19" s="263"/>
      <c r="AT19" s="263"/>
      <c r="AU19" s="263">
        <v>0.67700000000000005</v>
      </c>
      <c r="AV19" s="263"/>
      <c r="AW19" s="263">
        <v>2.0133333333333333E-2</v>
      </c>
      <c r="AX19" s="271">
        <v>12.534000000000001</v>
      </c>
      <c r="AY19" s="271">
        <v>0</v>
      </c>
      <c r="AZ19" s="271">
        <v>0.352531836996337</v>
      </c>
      <c r="BA19">
        <f t="shared" si="0"/>
        <v>2.812604411970137E-2</v>
      </c>
    </row>
    <row r="20" spans="1:53" ht="16.8" x14ac:dyDescent="0.3">
      <c r="A20" s="261">
        <v>17</v>
      </c>
      <c r="B20" s="272" t="s">
        <v>41</v>
      </c>
      <c r="C20" s="263">
        <v>1.0999999999999999E-2</v>
      </c>
      <c r="D20" s="277"/>
      <c r="E20" s="263">
        <v>0.53333333333333333</v>
      </c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77"/>
      <c r="U20" s="265"/>
      <c r="V20" s="265"/>
      <c r="W20" s="263"/>
      <c r="X20" s="263"/>
      <c r="Y20" s="263"/>
      <c r="Z20" s="263"/>
      <c r="AA20" s="263"/>
      <c r="AB20" s="263"/>
      <c r="AC20" s="263"/>
      <c r="AD20" s="263"/>
      <c r="AE20" s="263">
        <v>1.4999999999999999E-2</v>
      </c>
      <c r="AF20" s="277"/>
      <c r="AG20" s="263">
        <v>1.4153846153846154E-3</v>
      </c>
      <c r="AH20" s="263"/>
      <c r="AI20" s="263">
        <v>2.4199999999999999E-2</v>
      </c>
      <c r="AJ20" s="277"/>
      <c r="AK20" s="263">
        <v>0.26176923076923075</v>
      </c>
      <c r="AL20" s="263"/>
      <c r="AM20" s="263"/>
      <c r="AN20" s="263"/>
      <c r="AO20" s="263"/>
      <c r="AP20" s="263"/>
      <c r="AQ20" s="263"/>
      <c r="AR20" s="263"/>
      <c r="AS20" s="263"/>
      <c r="AT20" s="263"/>
      <c r="AU20" s="263">
        <v>3.2000000000000001E-2</v>
      </c>
      <c r="AV20" s="263"/>
      <c r="AW20" s="263">
        <v>7.6111111111111119E-3</v>
      </c>
      <c r="AX20" s="271">
        <v>8.2199999999999995E-2</v>
      </c>
      <c r="AY20" s="271">
        <v>0</v>
      </c>
      <c r="AZ20" s="271">
        <v>0.8041290598290598</v>
      </c>
      <c r="BA20">
        <f t="shared" si="0"/>
        <v>9.7825919687233558</v>
      </c>
    </row>
    <row r="21" spans="1:53" ht="16.8" x14ac:dyDescent="0.3">
      <c r="A21" s="261">
        <v>18</v>
      </c>
      <c r="B21" s="300" t="s">
        <v>42</v>
      </c>
      <c r="C21" s="263">
        <v>0.02</v>
      </c>
      <c r="D21" s="263"/>
      <c r="E21" s="263">
        <v>5.6000000000000001E-2</v>
      </c>
      <c r="F21" s="263"/>
      <c r="G21" s="263">
        <v>2E-3</v>
      </c>
      <c r="H21" s="263"/>
      <c r="I21" s="263">
        <v>2E-3</v>
      </c>
      <c r="J21" s="263"/>
      <c r="K21" s="263"/>
      <c r="L21" s="263"/>
      <c r="M21" s="263"/>
      <c r="N21" s="263"/>
      <c r="O21" s="263">
        <v>1.4E-2</v>
      </c>
      <c r="P21" s="263"/>
      <c r="Q21" s="265">
        <v>1E-3</v>
      </c>
      <c r="R21" s="265"/>
      <c r="S21" s="263">
        <v>1E-3</v>
      </c>
      <c r="T21" s="265"/>
      <c r="U21" s="263">
        <v>2.5000000000000001E-2</v>
      </c>
      <c r="V21" s="263"/>
      <c r="W21" s="263"/>
      <c r="X21" s="263"/>
      <c r="Y21" s="263"/>
      <c r="Z21" s="263"/>
      <c r="AA21" s="263"/>
      <c r="AB21" s="263"/>
      <c r="AC21" s="263"/>
      <c r="AD21" s="263"/>
      <c r="AE21" s="263">
        <v>5.0000000000000001E-3</v>
      </c>
      <c r="AF21" s="263"/>
      <c r="AG21" s="263">
        <v>0</v>
      </c>
      <c r="AH21" s="263"/>
      <c r="AI21" s="263">
        <v>1E-3</v>
      </c>
      <c r="AJ21" s="263"/>
      <c r="AK21" s="263">
        <v>7.6999999999999999E-2</v>
      </c>
      <c r="AL21" s="263"/>
      <c r="AM21" s="263"/>
      <c r="AN21" s="263"/>
      <c r="AO21" s="263"/>
      <c r="AP21" s="263"/>
      <c r="AQ21" s="263"/>
      <c r="AR21" s="263"/>
      <c r="AS21" s="263"/>
      <c r="AT21" s="263"/>
      <c r="AU21" s="263">
        <v>3.0000000000000001E-3</v>
      </c>
      <c r="AV21" s="263"/>
      <c r="AW21" s="263">
        <v>5.9000000000000004E-2</v>
      </c>
      <c r="AX21" s="271">
        <v>4.5999999999999999E-2</v>
      </c>
      <c r="AY21" s="271">
        <v>0</v>
      </c>
      <c r="AZ21" s="271">
        <v>0.22</v>
      </c>
      <c r="BA21">
        <f t="shared" si="0"/>
        <v>4.7826086956521738</v>
      </c>
    </row>
    <row r="22" spans="1:53" ht="16.8" x14ac:dyDescent="0.3">
      <c r="A22" s="267">
        <v>19</v>
      </c>
      <c r="B22" s="278" t="s">
        <v>43</v>
      </c>
      <c r="C22" s="269"/>
      <c r="D22" s="270"/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>
        <v>2.3E-2</v>
      </c>
      <c r="P22" s="270"/>
      <c r="Q22" s="270">
        <v>1.7573714285714286</v>
      </c>
      <c r="R22" s="270"/>
      <c r="S22" s="270">
        <v>0.60799999999999998</v>
      </c>
      <c r="T22" s="270"/>
      <c r="U22" s="270">
        <v>7.5575000000000001</v>
      </c>
      <c r="V22" s="270"/>
      <c r="W22" s="270"/>
      <c r="X22" s="270"/>
      <c r="Y22" s="270"/>
      <c r="Z22" s="270"/>
      <c r="AA22" s="270">
        <v>3.0550000000000002</v>
      </c>
      <c r="AB22" s="270">
        <v>30.466999999999999</v>
      </c>
      <c r="AC22" s="270"/>
      <c r="AD22" s="270"/>
      <c r="AE22" s="270"/>
      <c r="AF22" s="270"/>
      <c r="AG22" s="270"/>
      <c r="AH22" s="270"/>
      <c r="AI22" s="270">
        <v>1.518</v>
      </c>
      <c r="AJ22" s="270"/>
      <c r="AK22" s="270">
        <v>24.184000000000001</v>
      </c>
      <c r="AL22" s="270"/>
      <c r="AM22" s="270">
        <v>0.39700000000000002</v>
      </c>
      <c r="AN22" s="270">
        <v>1.097</v>
      </c>
      <c r="AO22" s="270"/>
      <c r="AP22" s="270"/>
      <c r="AQ22" s="270"/>
      <c r="AR22" s="270"/>
      <c r="AS22" s="270"/>
      <c r="AT22" s="270"/>
      <c r="AU22" s="270"/>
      <c r="AV22" s="270"/>
      <c r="AW22" s="270"/>
      <c r="AX22" s="271">
        <v>5.601</v>
      </c>
      <c r="AY22" s="271">
        <v>31.564</v>
      </c>
      <c r="AZ22" s="271">
        <v>33.498871428571434</v>
      </c>
      <c r="BA22">
        <f t="shared" si="0"/>
        <v>11.616295559466424</v>
      </c>
    </row>
    <row r="23" spans="1:53" ht="16.8" x14ac:dyDescent="0.3">
      <c r="A23" s="261">
        <v>20</v>
      </c>
      <c r="B23" s="262" t="s">
        <v>45</v>
      </c>
      <c r="C23" s="263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5"/>
      <c r="R23" s="265"/>
      <c r="S23" s="263"/>
      <c r="T23" s="265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63"/>
      <c r="AU23" s="263">
        <v>2.177</v>
      </c>
      <c r="AV23" s="263">
        <v>13.702</v>
      </c>
      <c r="AW23" s="263"/>
      <c r="AX23" s="271">
        <v>2.177</v>
      </c>
      <c r="AY23" s="271">
        <v>13.702</v>
      </c>
      <c r="AZ23" s="271">
        <v>0</v>
      </c>
      <c r="BA23">
        <f t="shared" si="0"/>
        <v>6.2939825447864033</v>
      </c>
    </row>
    <row r="24" spans="1:53" ht="16.8" x14ac:dyDescent="0.3">
      <c r="A24" s="261">
        <v>21</v>
      </c>
      <c r="B24" s="272" t="s">
        <v>46</v>
      </c>
      <c r="C24" s="263"/>
      <c r="D24" s="263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5"/>
      <c r="R24" s="265"/>
      <c r="S24" s="263"/>
      <c r="T24" s="265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/>
      <c r="AH24" s="263"/>
      <c r="AI24" s="263"/>
      <c r="AJ24" s="263"/>
      <c r="AK24" s="263"/>
      <c r="AL24" s="263"/>
      <c r="AM24" s="263"/>
      <c r="AN24" s="263"/>
      <c r="AO24" s="263"/>
      <c r="AP24" s="263"/>
      <c r="AQ24" s="263"/>
      <c r="AR24" s="263"/>
      <c r="AS24" s="263"/>
      <c r="AT24" s="263"/>
      <c r="AU24" s="263">
        <v>3.661</v>
      </c>
      <c r="AV24" s="263">
        <v>8.3089999999999993</v>
      </c>
      <c r="AW24" s="263"/>
      <c r="AX24" s="271">
        <v>3.661</v>
      </c>
      <c r="AY24" s="271">
        <v>8.3089999999999993</v>
      </c>
      <c r="AZ24" s="271">
        <v>0</v>
      </c>
      <c r="BA24">
        <f t="shared" si="0"/>
        <v>2.2695984703632885</v>
      </c>
    </row>
    <row r="25" spans="1:53" ht="16.8" x14ac:dyDescent="0.3">
      <c r="A25" s="267">
        <v>22</v>
      </c>
      <c r="B25" s="278" t="s">
        <v>47</v>
      </c>
      <c r="C25" s="287">
        <v>1.0999999999999999E-2</v>
      </c>
      <c r="D25" s="288"/>
      <c r="E25" s="288">
        <v>2.7777777777777776E-2</v>
      </c>
      <c r="F25" s="288"/>
      <c r="G25" s="288">
        <v>7.0000000000000001E-3</v>
      </c>
      <c r="H25" s="288"/>
      <c r="I25" s="288">
        <v>4.2857142857142858E-2</v>
      </c>
      <c r="J25" s="288"/>
      <c r="K25" s="288"/>
      <c r="L25" s="288"/>
      <c r="M25" s="288"/>
      <c r="N25" s="288"/>
      <c r="O25" s="288">
        <v>3.1E-2</v>
      </c>
      <c r="P25" s="289"/>
      <c r="Q25" s="282">
        <v>6.2040816326530614E-4</v>
      </c>
      <c r="R25" s="373"/>
      <c r="S25" s="287">
        <v>3.4000000000000002E-2</v>
      </c>
      <c r="T25" s="290"/>
      <c r="U25" s="288">
        <v>1.0937499999999999E-2</v>
      </c>
      <c r="V25" s="288"/>
      <c r="W25" s="288"/>
      <c r="X25" s="288"/>
      <c r="Y25" s="288"/>
      <c r="Z25" s="288"/>
      <c r="AA25" s="288">
        <v>1.7000000000000001E-2</v>
      </c>
      <c r="AB25" s="288">
        <v>16.5</v>
      </c>
      <c r="AC25" s="288"/>
      <c r="AD25" s="288"/>
      <c r="AE25" s="288">
        <v>3.7999999999999999E-2</v>
      </c>
      <c r="AF25" s="288"/>
      <c r="AG25" s="288">
        <v>1.051939513477975E-5</v>
      </c>
      <c r="AH25" s="289"/>
      <c r="AI25" s="289">
        <v>2.5000000000000001E-2</v>
      </c>
      <c r="AJ25" s="291"/>
      <c r="AK25" s="291">
        <v>1.4201183431952664E-3</v>
      </c>
      <c r="AL25" s="291"/>
      <c r="AM25" s="291"/>
      <c r="AN25" s="291"/>
      <c r="AO25" s="291"/>
      <c r="AP25" s="291"/>
      <c r="AQ25" s="291"/>
      <c r="AR25" s="291"/>
      <c r="AS25" s="287"/>
      <c r="AT25" s="287"/>
      <c r="AU25" s="288">
        <v>7.9000000000000001E-2</v>
      </c>
      <c r="AV25" s="288"/>
      <c r="AW25" s="291">
        <v>2.4382716049382715E-3</v>
      </c>
      <c r="AX25" s="271">
        <v>0.24199999999999999</v>
      </c>
      <c r="AY25" s="271">
        <v>16.5</v>
      </c>
      <c r="AZ25" s="271">
        <v>8.6061738141454264E-2</v>
      </c>
      <c r="BA25">
        <f t="shared" si="0"/>
        <v>68.537445198931621</v>
      </c>
    </row>
    <row r="26" spans="1:53" ht="16.8" x14ac:dyDescent="0.3">
      <c r="A26" s="261">
        <v>23</v>
      </c>
      <c r="B26" s="272" t="s">
        <v>48</v>
      </c>
      <c r="C26" s="301"/>
      <c r="D26" s="277"/>
      <c r="E26" s="277"/>
      <c r="F26" s="277"/>
      <c r="G26" s="277">
        <v>4.1520000000000001E-2</v>
      </c>
      <c r="H26" s="277">
        <v>11.54256</v>
      </c>
      <c r="I26" s="277"/>
      <c r="J26" s="277"/>
      <c r="K26" s="277">
        <v>6.9130000000000003</v>
      </c>
      <c r="L26" s="277">
        <v>128.85831999999999</v>
      </c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>
        <v>17.259</v>
      </c>
      <c r="X26" s="277">
        <v>180.66655999999998</v>
      </c>
      <c r="Y26" s="277"/>
      <c r="Z26" s="277"/>
      <c r="AA26" s="277">
        <v>0.54400000000000004</v>
      </c>
      <c r="AB26" s="277">
        <v>15.41432</v>
      </c>
      <c r="AC26" s="277"/>
      <c r="AD26" s="277"/>
      <c r="AE26" s="277"/>
      <c r="AF26" s="277"/>
      <c r="AG26" s="277"/>
      <c r="AH26" s="277"/>
      <c r="AI26" s="277">
        <v>3.0190000000000001</v>
      </c>
      <c r="AJ26" s="270">
        <v>28.349260000000001</v>
      </c>
      <c r="AK26" s="270">
        <v>5.5384615384615383</v>
      </c>
      <c r="AL26" s="270"/>
      <c r="AM26" s="270">
        <v>7.0259999999999998</v>
      </c>
      <c r="AN26" s="270">
        <v>67.998940000000005</v>
      </c>
      <c r="AO26" s="270"/>
      <c r="AP26" s="270"/>
      <c r="AQ26" s="270"/>
      <c r="AR26" s="270"/>
      <c r="AS26" s="277"/>
      <c r="AT26" s="277"/>
      <c r="AU26" s="277">
        <v>8.11782</v>
      </c>
      <c r="AV26" s="277">
        <v>82.880830000000003</v>
      </c>
      <c r="AW26" s="277"/>
      <c r="AX26" s="271">
        <v>42.920340000000003</v>
      </c>
      <c r="AY26" s="271">
        <v>515.71078999999997</v>
      </c>
      <c r="AZ26" s="271">
        <v>5.5384615384615383</v>
      </c>
      <c r="BA26">
        <f t="shared" si="0"/>
        <v>12.144574146860474</v>
      </c>
    </row>
    <row r="27" spans="1:53" ht="16.8" x14ac:dyDescent="0.3">
      <c r="A27" s="261">
        <v>24</v>
      </c>
      <c r="B27" s="302" t="s">
        <v>65</v>
      </c>
      <c r="C27" s="263"/>
      <c r="D27" s="263"/>
      <c r="E27" s="263"/>
      <c r="F27" s="263"/>
      <c r="G27" s="263"/>
      <c r="H27" s="263"/>
      <c r="I27" s="263"/>
      <c r="J27" s="263"/>
      <c r="K27" s="263">
        <v>0.93400000000000005</v>
      </c>
      <c r="L27" s="263">
        <v>29.166</v>
      </c>
      <c r="M27" s="263"/>
      <c r="N27" s="263"/>
      <c r="O27" s="263"/>
      <c r="P27" s="263"/>
      <c r="Q27" s="265"/>
      <c r="R27" s="265"/>
      <c r="S27" s="263"/>
      <c r="T27" s="265"/>
      <c r="U27" s="263"/>
      <c r="V27" s="263"/>
      <c r="W27" s="263">
        <v>0.19400000000000001</v>
      </c>
      <c r="X27" s="263">
        <v>0.61599999999999999</v>
      </c>
      <c r="Y27" s="263"/>
      <c r="Z27" s="263"/>
      <c r="AA27" s="263">
        <v>0.38700000000000001</v>
      </c>
      <c r="AB27" s="263">
        <v>4.7640000000000002</v>
      </c>
      <c r="AC27" s="263"/>
      <c r="AD27" s="263"/>
      <c r="AE27" s="263"/>
      <c r="AF27" s="263"/>
      <c r="AG27" s="263"/>
      <c r="AH27" s="263"/>
      <c r="AI27" s="263">
        <v>1.0629999999999999</v>
      </c>
      <c r="AJ27" s="263">
        <v>4.7610000000000001</v>
      </c>
      <c r="AK27" s="263"/>
      <c r="AL27" s="263"/>
      <c r="AM27" s="263">
        <v>0.26400000000000001</v>
      </c>
      <c r="AN27" s="263">
        <v>4.3940000000000001</v>
      </c>
      <c r="AO27" s="263"/>
      <c r="AP27" s="263"/>
      <c r="AQ27" s="263"/>
      <c r="AR27" s="263"/>
      <c r="AS27" s="263"/>
      <c r="AT27" s="263"/>
      <c r="AU27" s="263">
        <v>0.501</v>
      </c>
      <c r="AV27" s="263">
        <v>4.29</v>
      </c>
      <c r="AW27" s="263"/>
      <c r="AX27" s="271">
        <v>3.3430000000000004</v>
      </c>
      <c r="AY27" s="271">
        <v>47.991</v>
      </c>
      <c r="AZ27" s="271">
        <v>0</v>
      </c>
      <c r="BA27">
        <f t="shared" si="0"/>
        <v>14.355668561172598</v>
      </c>
    </row>
    <row r="28" spans="1:53" ht="16.8" x14ac:dyDescent="0.3">
      <c r="A28" s="267">
        <v>25</v>
      </c>
      <c r="B28" s="278" t="s">
        <v>49</v>
      </c>
      <c r="C28" s="287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8"/>
      <c r="P28" s="289"/>
      <c r="Q28" s="282"/>
      <c r="R28" s="373"/>
      <c r="S28" s="287"/>
      <c r="T28" s="288"/>
      <c r="U28" s="288"/>
      <c r="V28" s="288"/>
      <c r="W28" s="288"/>
      <c r="X28" s="288"/>
      <c r="Y28" s="288"/>
      <c r="Z28" s="288"/>
      <c r="AA28" s="288"/>
      <c r="AB28" s="288"/>
      <c r="AC28" s="288"/>
      <c r="AD28" s="288"/>
      <c r="AE28" s="288"/>
      <c r="AF28" s="288"/>
      <c r="AG28" s="288"/>
      <c r="AH28" s="289"/>
      <c r="AI28" s="289"/>
      <c r="AJ28" s="291"/>
      <c r="AK28" s="291"/>
      <c r="AL28" s="291"/>
      <c r="AM28" s="291"/>
      <c r="AN28" s="291"/>
      <c r="AO28" s="291"/>
      <c r="AP28" s="291"/>
      <c r="AQ28" s="291"/>
      <c r="AR28" s="291"/>
      <c r="AS28" s="287"/>
      <c r="AT28" s="287"/>
      <c r="AU28" s="288"/>
      <c r="AV28" s="288"/>
      <c r="AW28" s="291"/>
      <c r="AX28" s="271">
        <v>0</v>
      </c>
      <c r="AY28" s="271">
        <v>0</v>
      </c>
      <c r="AZ28" s="271">
        <v>0</v>
      </c>
      <c r="BA28" t="e">
        <f t="shared" si="0"/>
        <v>#DIV/0!</v>
      </c>
    </row>
    <row r="29" spans="1:53" ht="16.8" x14ac:dyDescent="0.3">
      <c r="A29" s="261">
        <v>26</v>
      </c>
      <c r="B29" s="262" t="s">
        <v>50</v>
      </c>
      <c r="C29" s="263"/>
      <c r="D29" s="263"/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5"/>
      <c r="R29" s="265"/>
      <c r="S29" s="263">
        <v>3.7269999999999999</v>
      </c>
      <c r="T29" s="265"/>
      <c r="U29" s="263">
        <v>46.628</v>
      </c>
      <c r="V29" s="263"/>
      <c r="W29" s="263"/>
      <c r="X29" s="263"/>
      <c r="Y29" s="263"/>
      <c r="Z29" s="263"/>
      <c r="AA29" s="263">
        <v>4.5369999999999999</v>
      </c>
      <c r="AB29" s="263">
        <v>9.1189999999999998</v>
      </c>
      <c r="AC29" s="263"/>
      <c r="AD29" s="263"/>
      <c r="AE29" s="263"/>
      <c r="AF29" s="263"/>
      <c r="AG29" s="263"/>
      <c r="AH29" s="263"/>
      <c r="AI29" s="263">
        <v>14.311</v>
      </c>
      <c r="AJ29" s="263">
        <v>40.137999999999998</v>
      </c>
      <c r="AK29" s="263">
        <v>22.591999999999999</v>
      </c>
      <c r="AL29" s="263"/>
      <c r="AM29" s="277"/>
      <c r="AN29" s="277"/>
      <c r="AO29" s="263"/>
      <c r="AP29" s="263"/>
      <c r="AQ29" s="263"/>
      <c r="AR29" s="263"/>
      <c r="AS29" s="263"/>
      <c r="AT29" s="263"/>
      <c r="AU29" s="263"/>
      <c r="AV29" s="263"/>
      <c r="AW29" s="263"/>
      <c r="AX29" s="271">
        <v>22.574999999999999</v>
      </c>
      <c r="AY29" s="271">
        <v>49.256999999999998</v>
      </c>
      <c r="AZ29" s="271">
        <v>69.22</v>
      </c>
      <c r="BA29">
        <f t="shared" si="0"/>
        <v>5.2481506090808416</v>
      </c>
    </row>
    <row r="30" spans="1:53" ht="16.8" x14ac:dyDescent="0.3">
      <c r="A30" s="267">
        <v>27</v>
      </c>
      <c r="B30" s="278" t="s">
        <v>51</v>
      </c>
      <c r="C30" s="287"/>
      <c r="D30" s="288"/>
      <c r="E30" s="288"/>
      <c r="F30" s="288"/>
      <c r="G30" s="288">
        <v>1.856E-2</v>
      </c>
      <c r="H30" s="288"/>
      <c r="I30" s="288">
        <v>0.24938095238095237</v>
      </c>
      <c r="J30" s="288"/>
      <c r="K30" s="288"/>
      <c r="L30" s="288"/>
      <c r="M30" s="288"/>
      <c r="N30" s="288"/>
      <c r="O30" s="288">
        <v>0.10849</v>
      </c>
      <c r="P30" s="289"/>
      <c r="Q30" s="282">
        <v>5.1766285714285711</v>
      </c>
      <c r="R30" s="373"/>
      <c r="S30" s="287">
        <v>0.31325999999999998</v>
      </c>
      <c r="T30" s="290"/>
      <c r="U30" s="288">
        <v>5.8271250000000006</v>
      </c>
      <c r="V30" s="288"/>
      <c r="W30" s="288"/>
      <c r="X30" s="288"/>
      <c r="Y30" s="288"/>
      <c r="Z30" s="288"/>
      <c r="AA30" s="288">
        <v>0.86104000000000003</v>
      </c>
      <c r="AB30" s="288">
        <v>2.68187</v>
      </c>
      <c r="AC30" s="288"/>
      <c r="AD30" s="288"/>
      <c r="AE30" s="288"/>
      <c r="AF30" s="288"/>
      <c r="AG30" s="288"/>
      <c r="AH30" s="288"/>
      <c r="AI30" s="288">
        <v>0.15601000000000001</v>
      </c>
      <c r="AJ30" s="288">
        <v>0.17352999999999999</v>
      </c>
      <c r="AK30" s="288"/>
      <c r="AL30" s="288"/>
      <c r="AM30" s="288">
        <v>1.8190000000000001E-2</v>
      </c>
      <c r="AN30" s="288">
        <v>2.0029999999999999E-2</v>
      </c>
      <c r="AO30" s="288"/>
      <c r="AP30" s="288"/>
      <c r="AQ30" s="288"/>
      <c r="AR30" s="288"/>
      <c r="AS30" s="288"/>
      <c r="AT30" s="288"/>
      <c r="AU30" s="288">
        <v>0.13438</v>
      </c>
      <c r="AV30" s="288">
        <v>0.14746999999999999</v>
      </c>
      <c r="AW30" s="291">
        <v>1.0177777777777777E-4</v>
      </c>
      <c r="AX30" s="271">
        <v>1.6099299999999999</v>
      </c>
      <c r="AY30" s="271">
        <v>3.0228999999999999</v>
      </c>
      <c r="AZ30" s="271">
        <v>11.253236301587302</v>
      </c>
      <c r="BA30">
        <f t="shared" si="0"/>
        <v>8.8675509504061072</v>
      </c>
    </row>
    <row r="31" spans="1:53" ht="16.8" x14ac:dyDescent="0.3">
      <c r="A31" s="261">
        <v>28</v>
      </c>
      <c r="B31" s="272" t="s">
        <v>52</v>
      </c>
      <c r="C31" s="263">
        <v>4.0000000000000001E-3</v>
      </c>
      <c r="D31" s="263"/>
      <c r="E31" s="263">
        <v>0.13500000000000001</v>
      </c>
      <c r="F31" s="263"/>
      <c r="G31" s="263"/>
      <c r="H31" s="263"/>
      <c r="I31" s="263"/>
      <c r="J31" s="263"/>
      <c r="K31" s="263">
        <v>0.71699999999999997</v>
      </c>
      <c r="L31" s="263"/>
      <c r="M31" s="263">
        <v>9.5</v>
      </c>
      <c r="N31" s="263"/>
      <c r="O31" s="263">
        <v>1.4E-2</v>
      </c>
      <c r="P31" s="263"/>
      <c r="Q31" s="265">
        <v>1.4988571428571429</v>
      </c>
      <c r="R31" s="265"/>
      <c r="S31" s="263">
        <v>2.9620000000000002</v>
      </c>
      <c r="T31" s="265"/>
      <c r="U31" s="263">
        <v>54.557500000000005</v>
      </c>
      <c r="V31" s="263"/>
      <c r="W31" s="263">
        <v>0.52900000000000003</v>
      </c>
      <c r="X31" s="263">
        <v>0.51600000000000001</v>
      </c>
      <c r="Y31" s="263"/>
      <c r="Z31" s="263"/>
      <c r="AA31" s="263">
        <v>7.5469999999999997</v>
      </c>
      <c r="AB31" s="263">
        <v>60.390999999999998</v>
      </c>
      <c r="AC31" s="263"/>
      <c r="AD31" s="263"/>
      <c r="AE31" s="263">
        <v>4.0000000000000001E-3</v>
      </c>
      <c r="AF31" s="263"/>
      <c r="AG31" s="263">
        <v>6.6153846153846146E-2</v>
      </c>
      <c r="AH31" s="263"/>
      <c r="AI31" s="263">
        <v>1.9430000000000001</v>
      </c>
      <c r="AJ31" s="263"/>
      <c r="AK31" s="263">
        <v>64.94</v>
      </c>
      <c r="AL31" s="263"/>
      <c r="AM31" s="263">
        <v>7.5460000000000003</v>
      </c>
      <c r="AN31" s="263"/>
      <c r="AO31" s="263">
        <v>84.102777777777774</v>
      </c>
      <c r="AP31" s="263"/>
      <c r="AQ31" s="263"/>
      <c r="AR31" s="263"/>
      <c r="AS31" s="263"/>
      <c r="AT31" s="263"/>
      <c r="AU31" s="263">
        <v>8.0489999999999995</v>
      </c>
      <c r="AV31" s="263">
        <v>10.009</v>
      </c>
      <c r="AW31" s="263"/>
      <c r="AX31" s="271">
        <v>29.314999999999998</v>
      </c>
      <c r="AY31" s="271">
        <v>70.915999999999997</v>
      </c>
      <c r="AZ31" s="271">
        <v>214.80028876678875</v>
      </c>
      <c r="BA31">
        <f t="shared" si="0"/>
        <v>9.7464195383519971</v>
      </c>
    </row>
    <row r="32" spans="1:53" ht="16.8" x14ac:dyDescent="0.3">
      <c r="A32" s="267">
        <v>29</v>
      </c>
      <c r="B32" s="278" t="s">
        <v>12</v>
      </c>
      <c r="C32" s="287">
        <v>0</v>
      </c>
      <c r="D32" s="287">
        <v>0</v>
      </c>
      <c r="E32" s="287">
        <v>0</v>
      </c>
      <c r="F32" s="287"/>
      <c r="G32" s="287">
        <v>0</v>
      </c>
      <c r="H32" s="287">
        <v>0</v>
      </c>
      <c r="I32" s="287">
        <v>0</v>
      </c>
      <c r="J32" s="287"/>
      <c r="K32" s="287">
        <v>0</v>
      </c>
      <c r="L32" s="287">
        <v>0</v>
      </c>
      <c r="M32" s="287">
        <v>0</v>
      </c>
      <c r="N32" s="287"/>
      <c r="O32" s="287">
        <v>0</v>
      </c>
      <c r="P32" s="287">
        <v>0</v>
      </c>
      <c r="Q32" s="287">
        <v>0</v>
      </c>
      <c r="R32" s="287"/>
      <c r="S32" s="287">
        <v>0</v>
      </c>
      <c r="T32" s="287">
        <v>0</v>
      </c>
      <c r="U32" s="287">
        <v>0</v>
      </c>
      <c r="V32" s="287"/>
      <c r="W32" s="287">
        <v>2.6000000000000002E-2</v>
      </c>
      <c r="X32" s="287">
        <v>0.2</v>
      </c>
      <c r="Y32" s="287">
        <v>0</v>
      </c>
      <c r="Z32" s="287"/>
      <c r="AA32" s="287">
        <v>4.1999999999999996E-2</v>
      </c>
      <c r="AB32" s="287">
        <v>0.20100000000000001</v>
      </c>
      <c r="AC32" s="287">
        <v>1.6E-2</v>
      </c>
      <c r="AD32" s="287"/>
      <c r="AE32" s="287">
        <v>0</v>
      </c>
      <c r="AF32" s="287">
        <v>0</v>
      </c>
      <c r="AG32" s="287">
        <v>0</v>
      </c>
      <c r="AH32" s="287"/>
      <c r="AI32" s="287">
        <v>5.0000000000000001E-3</v>
      </c>
      <c r="AJ32" s="287">
        <v>8.0000000000000002E-3</v>
      </c>
      <c r="AK32" s="287">
        <v>0</v>
      </c>
      <c r="AL32" s="287"/>
      <c r="AM32" s="287">
        <v>6.0000000000000001E-3</v>
      </c>
      <c r="AN32" s="287">
        <v>1.4999999999999999E-2</v>
      </c>
      <c r="AO32" s="287">
        <v>0</v>
      </c>
      <c r="AP32" s="287"/>
      <c r="AQ32" s="287">
        <v>0</v>
      </c>
      <c r="AR32" s="287">
        <v>0</v>
      </c>
      <c r="AS32" s="287">
        <v>0</v>
      </c>
      <c r="AT32" s="287"/>
      <c r="AU32" s="287">
        <v>9.8619999999999999E-2</v>
      </c>
      <c r="AV32" s="287">
        <v>0.31900000000000001</v>
      </c>
      <c r="AW32" s="287">
        <v>0</v>
      </c>
      <c r="AX32" s="271">
        <v>0.17762</v>
      </c>
      <c r="AY32" s="271">
        <v>0.7430000000000001</v>
      </c>
      <c r="AZ32" s="271">
        <v>1.6E-2</v>
      </c>
      <c r="BA32">
        <f t="shared" si="0"/>
        <v>4.2731674360995386</v>
      </c>
    </row>
    <row r="33" spans="1:53" ht="16.8" x14ac:dyDescent="0.3">
      <c r="A33" s="303"/>
      <c r="B33" s="304" t="s">
        <v>53</v>
      </c>
      <c r="C33" s="372">
        <v>3.2240300000000004</v>
      </c>
      <c r="D33" s="372">
        <v>0.92315000000000003</v>
      </c>
      <c r="E33" s="372">
        <v>1.9886999999999999</v>
      </c>
      <c r="F33" s="372"/>
      <c r="G33" s="372">
        <v>2.3951549999999999</v>
      </c>
      <c r="H33" s="372">
        <v>12.934559999999999</v>
      </c>
      <c r="I33" s="372">
        <v>6.7885095238095241</v>
      </c>
      <c r="J33" s="372"/>
      <c r="K33" s="372">
        <v>24.018307</v>
      </c>
      <c r="L33" s="372">
        <v>456.10837499999997</v>
      </c>
      <c r="M33" s="372">
        <v>15.744017722222221</v>
      </c>
      <c r="N33" s="372"/>
      <c r="O33" s="372">
        <v>5.3730830000000003</v>
      </c>
      <c r="P33" s="372">
        <v>6.2290099999999997</v>
      </c>
      <c r="Q33" s="372">
        <v>19.932014693877552</v>
      </c>
      <c r="R33" s="372"/>
      <c r="S33" s="372">
        <v>11.766292</v>
      </c>
      <c r="T33" s="372">
        <v>14.152000000000001</v>
      </c>
      <c r="U33" s="372">
        <v>246.61612500000004</v>
      </c>
      <c r="V33" s="372"/>
      <c r="W33" s="372">
        <v>26.150099999999998</v>
      </c>
      <c r="X33" s="372">
        <v>237.73555999999996</v>
      </c>
      <c r="Y33" s="372">
        <v>2.4894444444444446</v>
      </c>
      <c r="Z33" s="372"/>
      <c r="AA33" s="372">
        <v>73.991174000000001</v>
      </c>
      <c r="AB33" s="372">
        <v>760.95778199999995</v>
      </c>
      <c r="AC33" s="372">
        <v>19.149333333333331</v>
      </c>
      <c r="AD33" s="372"/>
      <c r="AE33" s="372">
        <v>2.9429999999999996</v>
      </c>
      <c r="AF33" s="372">
        <v>4.907</v>
      </c>
      <c r="AG33" s="372">
        <v>9.7825028270874412</v>
      </c>
      <c r="AH33" s="372"/>
      <c r="AI33" s="372">
        <v>37.554073000000002</v>
      </c>
      <c r="AJ33" s="372">
        <v>149.670187</v>
      </c>
      <c r="AK33" s="372">
        <v>348.56022773372774</v>
      </c>
      <c r="AL33" s="372"/>
      <c r="AM33" s="372">
        <v>21.967205</v>
      </c>
      <c r="AN33" s="372">
        <v>121.85797000000002</v>
      </c>
      <c r="AO33" s="372">
        <v>93.680888888888887</v>
      </c>
      <c r="AP33" s="372"/>
      <c r="AQ33" s="372">
        <v>2.2515E-2</v>
      </c>
      <c r="AR33" s="372">
        <v>2.5999999999999999E-3</v>
      </c>
      <c r="AS33" s="372">
        <v>7.5722222222222232E-2</v>
      </c>
      <c r="AT33" s="372"/>
      <c r="AU33" s="372">
        <v>112.616067</v>
      </c>
      <c r="AV33" s="372">
        <v>386.47905700000007</v>
      </c>
      <c r="AW33" s="372">
        <v>63.278226771604935</v>
      </c>
      <c r="AX33" s="372">
        <v>322.02100100000001</v>
      </c>
      <c r="AY33" s="372">
        <v>2151.9572509999998</v>
      </c>
      <c r="AZ33" s="372">
        <v>828.08571316121834</v>
      </c>
      <c r="BA33">
        <f t="shared" si="0"/>
        <v>9.2541882514091629</v>
      </c>
    </row>
    <row r="34" spans="1:53" x14ac:dyDescent="0.3">
      <c r="E34" s="354"/>
      <c r="F34" s="377">
        <f>(E33+D33)/C33</f>
        <v>0.90317087620152403</v>
      </c>
      <c r="G34" s="354"/>
      <c r="H34" s="354"/>
      <c r="I34" s="354"/>
      <c r="J34" s="377">
        <f t="shared" ref="J34:AT34" si="1">(I33+H33)/G33</f>
        <v>8.2345691714354707</v>
      </c>
      <c r="K34" s="354"/>
      <c r="L34" s="354"/>
      <c r="M34" s="354"/>
      <c r="N34" s="354">
        <f t="shared" si="1"/>
        <v>19.645530916155838</v>
      </c>
      <c r="O34" s="354"/>
      <c r="P34" s="354"/>
      <c r="Q34" s="354"/>
      <c r="R34" s="377">
        <f t="shared" si="1"/>
        <v>4.868903885139602</v>
      </c>
      <c r="S34" s="354"/>
      <c r="T34" s="354"/>
      <c r="U34" s="354"/>
      <c r="V34" s="377">
        <f t="shared" si="1"/>
        <v>22.162302703349539</v>
      </c>
      <c r="W34" s="354"/>
      <c r="X34" s="354"/>
      <c r="Y34" s="354"/>
      <c r="Z34" s="354">
        <f t="shared" si="1"/>
        <v>9.1863895145504006</v>
      </c>
      <c r="AA34" s="354"/>
      <c r="AB34" s="354"/>
      <c r="AC34" s="354"/>
      <c r="AD34" s="354">
        <f t="shared" si="1"/>
        <v>10.54324554079022</v>
      </c>
      <c r="AE34" s="354"/>
      <c r="AF34" s="354"/>
      <c r="AG34" s="354"/>
      <c r="AH34" s="354">
        <f t="shared" si="1"/>
        <v>4.991336332683467</v>
      </c>
      <c r="AI34" s="354"/>
      <c r="AJ34" s="354"/>
      <c r="AK34" s="354"/>
      <c r="AL34" s="354">
        <f t="shared" si="1"/>
        <v>13.267014066190043</v>
      </c>
      <c r="AM34" s="354"/>
      <c r="AN34" s="354"/>
      <c r="AO34" s="354"/>
      <c r="AP34" s="354">
        <f t="shared" si="1"/>
        <v>9.8118472008108863</v>
      </c>
      <c r="AQ34" s="354"/>
      <c r="AR34" s="354"/>
      <c r="AS34" s="354"/>
      <c r="AT34" s="354">
        <f t="shared" si="1"/>
        <v>3.4786685419596819</v>
      </c>
      <c r="AU34" s="354"/>
      <c r="AV34" s="354"/>
      <c r="AW34" s="354"/>
      <c r="AX34" s="354"/>
      <c r="AY34" s="354"/>
      <c r="AZ34" s="354"/>
      <c r="BA34" s="354"/>
    </row>
  </sheetData>
  <mergeCells count="26">
    <mergeCell ref="AN2:AO2"/>
    <mergeCell ref="AR2:AS2"/>
    <mergeCell ref="AV2:AW2"/>
    <mergeCell ref="AY2:AZ2"/>
    <mergeCell ref="AX1:AZ1"/>
    <mergeCell ref="AM1:AO1"/>
    <mergeCell ref="AQ1:AS1"/>
    <mergeCell ref="AU1:AW1"/>
    <mergeCell ref="D2:E2"/>
    <mergeCell ref="H2:I2"/>
    <mergeCell ref="L2:M2"/>
    <mergeCell ref="P2:Q2"/>
    <mergeCell ref="T2:U2"/>
    <mergeCell ref="X2:Y2"/>
    <mergeCell ref="AB2:AC2"/>
    <mergeCell ref="AF2:AG2"/>
    <mergeCell ref="AJ2:AK2"/>
    <mergeCell ref="AA1:AC1"/>
    <mergeCell ref="AE1:AG1"/>
    <mergeCell ref="AI1:AK1"/>
    <mergeCell ref="W1:Y1"/>
    <mergeCell ref="C1:E1"/>
    <mergeCell ref="G1:I1"/>
    <mergeCell ref="K1:M1"/>
    <mergeCell ref="O1:Q1"/>
    <mergeCell ref="S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flw11-12</vt:lpstr>
      <vt:lpstr>12-13</vt:lpstr>
      <vt:lpstr>13-14</vt:lpstr>
      <vt:lpstr>14-15</vt:lpstr>
      <vt:lpstr>15-16</vt:lpstr>
      <vt:lpstr>16-17</vt:lpstr>
      <vt:lpstr>17-18</vt:lpstr>
      <vt:lpstr>18-19</vt:lpstr>
      <vt:lpstr>19-20</vt:lpstr>
      <vt:lpstr>20-21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Singh</dc:creator>
  <cp:lastModifiedBy>Prateek Singh</cp:lastModifiedBy>
  <dcterms:created xsi:type="dcterms:W3CDTF">2024-07-29T05:29:13Z</dcterms:created>
  <dcterms:modified xsi:type="dcterms:W3CDTF">2026-07-08T10:31:56Z</dcterms:modified>
</cp:coreProperties>
</file>