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8_{0A7CB784-8284-4860-9A0F-BC456D162F1A}" xr6:coauthVersionLast="47" xr6:coauthVersionMax="47" xr10:uidLastSave="{00000000-0000-0000-0000-000000000000}"/>
  <bookViews>
    <workbookView xWindow="-108" yWindow="-108" windowWidth="23256" windowHeight="13176" xr2:uid="{AC69BCAA-CFFD-4717-8908-27A5531EE2DF}"/>
  </bookViews>
  <sheets>
    <sheet name="spi11-12" sheetId="1" r:id="rId1"/>
    <sheet name="Sheet1" sheetId="11" r:id="rId2"/>
    <sheet name="spi12-13" sheetId="2" r:id="rId3"/>
    <sheet name="spi13-14" sheetId="3" r:id="rId4"/>
    <sheet name="spi14-15" sheetId="4" r:id="rId5"/>
    <sheet name="spi16-17" sheetId="6" r:id="rId6"/>
    <sheet name="spi15-16" sheetId="5" r:id="rId7"/>
    <sheet name="spi17-18" sheetId="7" r:id="rId8"/>
    <sheet name="spi18-19" sheetId="8" r:id="rId9"/>
    <sheet name="spi19-20" sheetId="9" r:id="rId10"/>
  </sheets>
  <externalReferences>
    <externalReference r:id="rId11"/>
  </externalReferences>
  <definedNames>
    <definedName name="_xlnm._FilterDatabase" localSheetId="0" hidden="1">'spi11-12'!$A$2:$BC$32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2" i="7" l="1"/>
  <c r="AN32" i="7" s="1"/>
  <c r="AY34" i="9"/>
  <c r="AY34" i="8"/>
  <c r="BA34" i="11"/>
  <c r="AP34" i="4"/>
  <c r="R32" i="8"/>
  <c r="S32" i="8" s="1"/>
  <c r="AD35" i="3"/>
  <c r="AE35" i="3" s="1"/>
  <c r="AE11" i="3"/>
  <c r="AE26" i="3"/>
  <c r="AE31" i="3"/>
  <c r="AE32" i="3"/>
  <c r="AE10" i="3"/>
  <c r="AN32" i="6" l="1"/>
  <c r="G34" i="4"/>
  <c r="N4" i="11"/>
  <c r="N5" i="11"/>
  <c r="N6" i="11"/>
  <c r="N7" i="11"/>
  <c r="N8" i="11"/>
  <c r="N9" i="11"/>
  <c r="N10" i="11"/>
  <c r="N11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3" i="11"/>
  <c r="BH25" i="11"/>
  <c r="BH28" i="11"/>
  <c r="BH32" i="11"/>
  <c r="BH15" i="11"/>
  <c r="BE14" i="11"/>
  <c r="BE32" i="11"/>
  <c r="BE13" i="11"/>
  <c r="BB32" i="11"/>
  <c r="BB11" i="11"/>
  <c r="AY13" i="11"/>
  <c r="AY14" i="11"/>
  <c r="AY15" i="11"/>
  <c r="AY16" i="11"/>
  <c r="AY19" i="11"/>
  <c r="AY20" i="11"/>
  <c r="AY25" i="11"/>
  <c r="AY26" i="11"/>
  <c r="AY31" i="11"/>
  <c r="AY32" i="11"/>
  <c r="AY3" i="11"/>
  <c r="AV14" i="11"/>
  <c r="AV25" i="11"/>
  <c r="AV31" i="11"/>
  <c r="AV32" i="11"/>
  <c r="AV13" i="11"/>
  <c r="AS14" i="11"/>
  <c r="AS16" i="11"/>
  <c r="AS25" i="11"/>
  <c r="AS31" i="11"/>
  <c r="AS32" i="11"/>
  <c r="AS13" i="11"/>
  <c r="AP14" i="11"/>
  <c r="AP18" i="11"/>
  <c r="AP19" i="11"/>
  <c r="AP20" i="11"/>
  <c r="AP29" i="11"/>
  <c r="AP30" i="11"/>
  <c r="AP31" i="11"/>
  <c r="AP32" i="11"/>
  <c r="AP13" i="11"/>
  <c r="AM15" i="11"/>
  <c r="AM19" i="11"/>
  <c r="AM22" i="11"/>
  <c r="AM23" i="11"/>
  <c r="AM30" i="11"/>
  <c r="AM32" i="11"/>
  <c r="AM8" i="11"/>
  <c r="AJ8" i="11"/>
  <c r="AJ15" i="11"/>
  <c r="AJ23" i="11"/>
  <c r="AJ26" i="11"/>
  <c r="AJ32" i="11"/>
  <c r="AJ3" i="11"/>
  <c r="AG9" i="11"/>
  <c r="AG13" i="11"/>
  <c r="AG15" i="11"/>
  <c r="AG16" i="11"/>
  <c r="AG23" i="11"/>
  <c r="AG25" i="11"/>
  <c r="AG28" i="11"/>
  <c r="AG29" i="11"/>
  <c r="AG30" i="11"/>
  <c r="AG32" i="11"/>
  <c r="AG8" i="11"/>
  <c r="AD9" i="11"/>
  <c r="AD13" i="11"/>
  <c r="AD15" i="11"/>
  <c r="AD23" i="11"/>
  <c r="AD25" i="11"/>
  <c r="AD28" i="11"/>
  <c r="AD30" i="11"/>
  <c r="AD32" i="11"/>
  <c r="AD8" i="11"/>
  <c r="W5" i="11"/>
  <c r="W6" i="11"/>
  <c r="W7" i="11"/>
  <c r="W8" i="11"/>
  <c r="Y8" i="11" s="1"/>
  <c r="AA8" i="11" s="1"/>
  <c r="W9" i="11"/>
  <c r="Y9" i="11" s="1"/>
  <c r="W10" i="11"/>
  <c r="Y10" i="11" s="1"/>
  <c r="AA10" i="11" s="1"/>
  <c r="W13" i="11"/>
  <c r="Y13" i="11" s="1"/>
  <c r="AA13" i="11" s="1"/>
  <c r="W15" i="11"/>
  <c r="Y15" i="11" s="1"/>
  <c r="AA15" i="11" s="1"/>
  <c r="W16" i="11"/>
  <c r="Y16" i="11" s="1"/>
  <c r="W17" i="11"/>
  <c r="Y17" i="11" s="1"/>
  <c r="W19" i="11"/>
  <c r="Y19" i="11" s="1"/>
  <c r="W20" i="11"/>
  <c r="Y20" i="11" s="1"/>
  <c r="W21" i="11"/>
  <c r="Y21" i="11" s="1"/>
  <c r="W23" i="11"/>
  <c r="Y23" i="11" s="1"/>
  <c r="AA23" i="11" s="1"/>
  <c r="W25" i="11"/>
  <c r="Y25" i="11" s="1"/>
  <c r="W26" i="11"/>
  <c r="Y26" i="11" s="1"/>
  <c r="W28" i="11"/>
  <c r="Y28" i="11" s="1"/>
  <c r="AA28" i="11" s="1"/>
  <c r="W29" i="11"/>
  <c r="Y29" i="11" s="1"/>
  <c r="W30" i="11"/>
  <c r="Y30" i="11" s="1"/>
  <c r="AA30" i="11" s="1"/>
  <c r="W32" i="11"/>
  <c r="Y32" i="11" s="1"/>
  <c r="AA32" i="11" s="1"/>
  <c r="W3" i="11"/>
  <c r="T4" i="11"/>
  <c r="T13" i="11"/>
  <c r="T14" i="11"/>
  <c r="T17" i="11"/>
  <c r="T20" i="11"/>
  <c r="T24" i="11"/>
  <c r="T25" i="11"/>
  <c r="T29" i="11"/>
  <c r="T30" i="11"/>
  <c r="T32" i="11"/>
  <c r="Q6" i="11"/>
  <c r="Q7" i="11"/>
  <c r="Q8" i="11"/>
  <c r="Q9" i="11"/>
  <c r="Q10" i="11"/>
  <c r="Q11" i="11"/>
  <c r="Q13" i="11"/>
  <c r="Q14" i="11"/>
  <c r="Q15" i="11"/>
  <c r="Q16" i="11"/>
  <c r="Q18" i="11"/>
  <c r="Q19" i="11"/>
  <c r="Q20" i="11"/>
  <c r="Q21" i="11"/>
  <c r="Q22" i="11"/>
  <c r="Q23" i="11"/>
  <c r="Q25" i="11"/>
  <c r="Q26" i="11"/>
  <c r="Q28" i="11"/>
  <c r="Q29" i="11"/>
  <c r="Q30" i="11"/>
  <c r="Q32" i="11"/>
  <c r="Q5" i="11"/>
  <c r="K4" i="11"/>
  <c r="K5" i="11"/>
  <c r="K6" i="11"/>
  <c r="K7" i="11"/>
  <c r="K8" i="11"/>
  <c r="K10" i="11"/>
  <c r="K11" i="11"/>
  <c r="K13" i="11"/>
  <c r="K15" i="11"/>
  <c r="K16" i="11"/>
  <c r="K19" i="11"/>
  <c r="K20" i="11"/>
  <c r="K21" i="11"/>
  <c r="K22" i="11"/>
  <c r="K23" i="11"/>
  <c r="K25" i="11"/>
  <c r="K26" i="11"/>
  <c r="K27" i="11"/>
  <c r="K28" i="11"/>
  <c r="K29" i="11"/>
  <c r="K30" i="11"/>
  <c r="K31" i="11"/>
  <c r="K32" i="11"/>
  <c r="K3" i="11"/>
  <c r="H4" i="11"/>
  <c r="H5" i="11"/>
  <c r="H6" i="11"/>
  <c r="H7" i="11"/>
  <c r="H8" i="11"/>
  <c r="H9" i="11"/>
  <c r="H10" i="11"/>
  <c r="H11" i="11"/>
  <c r="H13" i="11"/>
  <c r="H14" i="11"/>
  <c r="H15" i="11"/>
  <c r="H16" i="11"/>
  <c r="H17" i="11"/>
  <c r="H18" i="11"/>
  <c r="H19" i="11"/>
  <c r="H20" i="11"/>
  <c r="H21" i="11"/>
  <c r="H23" i="11"/>
  <c r="H24" i="11"/>
  <c r="H25" i="11"/>
  <c r="H26" i="11"/>
  <c r="H27" i="11"/>
  <c r="H28" i="11"/>
  <c r="H29" i="11"/>
  <c r="H30" i="11"/>
  <c r="H31" i="11"/>
  <c r="H32" i="11"/>
  <c r="H3" i="11"/>
  <c r="E4" i="11"/>
  <c r="E5" i="11"/>
  <c r="E13" i="11"/>
  <c r="E14" i="11"/>
  <c r="E16" i="11"/>
  <c r="E18" i="11"/>
  <c r="E19" i="11"/>
  <c r="E20" i="11"/>
  <c r="E25" i="11"/>
  <c r="E27" i="11"/>
  <c r="E30" i="11"/>
  <c r="E31" i="11"/>
  <c r="E32" i="11"/>
  <c r="E3" i="11"/>
  <c r="BA3" i="1" l="1"/>
  <c r="BB24" i="1"/>
  <c r="BI32" i="9"/>
  <c r="BF32" i="9"/>
  <c r="BC32" i="9"/>
  <c r="AZ32" i="9"/>
  <c r="AW32" i="9"/>
  <c r="AT32" i="9"/>
  <c r="AQ32" i="9"/>
  <c r="AN32" i="9"/>
  <c r="AK32" i="9"/>
  <c r="AH32" i="9"/>
  <c r="AE32" i="9"/>
  <c r="AB32" i="9"/>
  <c r="Y32" i="9"/>
  <c r="V32" i="9"/>
  <c r="S32" i="9"/>
  <c r="P32" i="9"/>
  <c r="M32" i="9"/>
  <c r="J32" i="9"/>
  <c r="G32" i="9"/>
  <c r="D32" i="9"/>
  <c r="BI31" i="9"/>
  <c r="AW31" i="9"/>
  <c r="AT31" i="9"/>
  <c r="AQ31" i="9"/>
  <c r="AN31" i="9"/>
  <c r="M31" i="9"/>
  <c r="J31" i="9"/>
  <c r="G31" i="9"/>
  <c r="D31" i="9"/>
  <c r="BI30" i="9"/>
  <c r="AN30" i="9"/>
  <c r="AE30" i="9"/>
  <c r="AB30" i="9"/>
  <c r="Y30" i="9"/>
  <c r="V30" i="9"/>
  <c r="S30" i="9"/>
  <c r="P30" i="9"/>
  <c r="M30" i="9"/>
  <c r="J30" i="9"/>
  <c r="G30" i="9"/>
  <c r="D30" i="9"/>
  <c r="BI29" i="9"/>
  <c r="AE29" i="9"/>
  <c r="V29" i="9"/>
  <c r="S29" i="9"/>
  <c r="P29" i="9"/>
  <c r="M29" i="9"/>
  <c r="J29" i="9"/>
  <c r="G29" i="9"/>
  <c r="BI28" i="9"/>
  <c r="BF28" i="9"/>
  <c r="AE28" i="9"/>
  <c r="AB28" i="9"/>
  <c r="Y28" i="9"/>
  <c r="V28" i="9"/>
  <c r="P28" i="9"/>
  <c r="M28" i="9"/>
  <c r="J28" i="9"/>
  <c r="G28" i="9"/>
  <c r="BI27" i="9"/>
  <c r="M27" i="9"/>
  <c r="J27" i="9"/>
  <c r="G27" i="9"/>
  <c r="D27" i="9"/>
  <c r="BI26" i="9"/>
  <c r="AW26" i="9"/>
  <c r="AH26" i="9"/>
  <c r="V26" i="9"/>
  <c r="P26" i="9"/>
  <c r="M26" i="9"/>
  <c r="J26" i="9"/>
  <c r="G26" i="9"/>
  <c r="BI25" i="9"/>
  <c r="AW25" i="9"/>
  <c r="AT25" i="9"/>
  <c r="V25" i="9"/>
  <c r="S25" i="9"/>
  <c r="P25" i="9"/>
  <c r="M25" i="9"/>
  <c r="J25" i="9"/>
  <c r="G25" i="9"/>
  <c r="D25" i="9"/>
  <c r="BI24" i="9"/>
  <c r="S24" i="9"/>
  <c r="M24" i="9"/>
  <c r="G24" i="9"/>
  <c r="BI23" i="9"/>
  <c r="AK23" i="9"/>
  <c r="AH23" i="9"/>
  <c r="AE23" i="9"/>
  <c r="AB23" i="9"/>
  <c r="Y23" i="9"/>
  <c r="V23" i="9"/>
  <c r="P23" i="9"/>
  <c r="M23" i="9"/>
  <c r="J23" i="9"/>
  <c r="G23" i="9"/>
  <c r="BI22" i="9"/>
  <c r="AK22" i="9"/>
  <c r="AE22" i="9"/>
  <c r="P22" i="9"/>
  <c r="M22" i="9"/>
  <c r="J22" i="9"/>
  <c r="BI21" i="9"/>
  <c r="V21" i="9"/>
  <c r="P21" i="9"/>
  <c r="M21" i="9"/>
  <c r="J21" i="9"/>
  <c r="G21" i="9"/>
  <c r="BI20" i="9"/>
  <c r="AW20" i="9"/>
  <c r="AN20" i="9"/>
  <c r="V20" i="9"/>
  <c r="S20" i="9"/>
  <c r="P20" i="9"/>
  <c r="M20" i="9"/>
  <c r="J20" i="9"/>
  <c r="G20" i="9"/>
  <c r="D20" i="9"/>
  <c r="BI19" i="9"/>
  <c r="AW19" i="9"/>
  <c r="AN19" i="9"/>
  <c r="V19" i="9"/>
  <c r="P19" i="9"/>
  <c r="M19" i="9"/>
  <c r="J19" i="9"/>
  <c r="G19" i="9"/>
  <c r="D19" i="9"/>
  <c r="BI18" i="9"/>
  <c r="AN18" i="9"/>
  <c r="M18" i="9"/>
  <c r="G18" i="9"/>
  <c r="D18" i="9"/>
  <c r="BI17" i="9"/>
  <c r="V17" i="9"/>
  <c r="S17" i="9"/>
  <c r="M17" i="9"/>
  <c r="J17" i="9"/>
  <c r="G17" i="9"/>
  <c r="BI16" i="9"/>
  <c r="AW16" i="9"/>
  <c r="AQ16" i="9"/>
  <c r="AN16" i="9"/>
  <c r="AE16" i="9"/>
  <c r="V16" i="9"/>
  <c r="P16" i="9"/>
  <c r="M16" i="9"/>
  <c r="J16" i="9"/>
  <c r="G16" i="9"/>
  <c r="D16" i="9"/>
  <c r="BI15" i="9"/>
  <c r="BF15" i="9"/>
  <c r="AW15" i="9"/>
  <c r="AK15" i="9"/>
  <c r="AH15" i="9"/>
  <c r="AE15" i="9"/>
  <c r="AB15" i="9"/>
  <c r="Y15" i="9"/>
  <c r="V15" i="9"/>
  <c r="P15" i="9"/>
  <c r="M15" i="9"/>
  <c r="J15" i="9"/>
  <c r="G15" i="9"/>
  <c r="BI14" i="9"/>
  <c r="BC14" i="9"/>
  <c r="AW14" i="9"/>
  <c r="AT14" i="9"/>
  <c r="AQ14" i="9"/>
  <c r="AN14" i="9"/>
  <c r="S14" i="9"/>
  <c r="P14" i="9"/>
  <c r="M14" i="9"/>
  <c r="G14" i="9"/>
  <c r="D14" i="9"/>
  <c r="BI13" i="9"/>
  <c r="BC13" i="9"/>
  <c r="AW13" i="9"/>
  <c r="AT13" i="9"/>
  <c r="AQ13" i="9"/>
  <c r="AN13" i="9"/>
  <c r="AK13" i="9"/>
  <c r="AE13" i="9"/>
  <c r="V13" i="9"/>
  <c r="S13" i="9"/>
  <c r="P13" i="9"/>
  <c r="M13" i="9"/>
  <c r="J13" i="9"/>
  <c r="G13" i="9"/>
  <c r="D13" i="9"/>
  <c r="BI11" i="9"/>
  <c r="AZ11" i="9"/>
  <c r="P11" i="9"/>
  <c r="M11" i="9"/>
  <c r="J11" i="9"/>
  <c r="G11" i="9"/>
  <c r="BI10" i="9"/>
  <c r="Y10" i="9"/>
  <c r="V10" i="9"/>
  <c r="P10" i="9"/>
  <c r="M10" i="9"/>
  <c r="J10" i="9"/>
  <c r="G10" i="9"/>
  <c r="BI9" i="9"/>
  <c r="AE9" i="9"/>
  <c r="AB9" i="9"/>
  <c r="V9" i="9"/>
  <c r="P9" i="9"/>
  <c r="M9" i="9"/>
  <c r="J9" i="9"/>
  <c r="G9" i="9"/>
  <c r="BI8" i="9"/>
  <c r="AK8" i="9"/>
  <c r="AH8" i="9"/>
  <c r="AE8" i="9"/>
  <c r="AB8" i="9"/>
  <c r="Y8" i="9"/>
  <c r="V8" i="9"/>
  <c r="P8" i="9"/>
  <c r="M8" i="9"/>
  <c r="J8" i="9"/>
  <c r="G8" i="9"/>
  <c r="BI7" i="9"/>
  <c r="V7" i="9"/>
  <c r="P7" i="9"/>
  <c r="M7" i="9"/>
  <c r="J7" i="9"/>
  <c r="G7" i="9"/>
  <c r="BI6" i="9"/>
  <c r="V6" i="9"/>
  <c r="P6" i="9"/>
  <c r="M6" i="9"/>
  <c r="J6" i="9"/>
  <c r="G6" i="9"/>
  <c r="BI5" i="9"/>
  <c r="V5" i="9"/>
  <c r="P5" i="9"/>
  <c r="M5" i="9"/>
  <c r="J5" i="9"/>
  <c r="G5" i="9"/>
  <c r="D5" i="9"/>
  <c r="BI4" i="9"/>
  <c r="S4" i="9"/>
  <c r="P4" i="9"/>
  <c r="M4" i="9"/>
  <c r="J4" i="9"/>
  <c r="G4" i="9"/>
  <c r="BI3" i="9"/>
  <c r="AW3" i="9"/>
  <c r="AH3" i="9"/>
  <c r="V3" i="9"/>
  <c r="M3" i="9"/>
  <c r="J3" i="9"/>
  <c r="G3" i="9"/>
  <c r="D3" i="9"/>
  <c r="BI32" i="8"/>
  <c r="BF32" i="8"/>
  <c r="BC32" i="8"/>
  <c r="AZ32" i="8"/>
  <c r="AW32" i="8"/>
  <c r="AT32" i="8"/>
  <c r="AQ32" i="8"/>
  <c r="AN32" i="8"/>
  <c r="AK32" i="8"/>
  <c r="AH32" i="8"/>
  <c r="AE32" i="8"/>
  <c r="AB32" i="8"/>
  <c r="Y32" i="8"/>
  <c r="V32" i="8"/>
  <c r="P32" i="8"/>
  <c r="M32" i="8"/>
  <c r="J32" i="8"/>
  <c r="G32" i="8"/>
  <c r="D32" i="8"/>
  <c r="BI31" i="8"/>
  <c r="AW31" i="8"/>
  <c r="AT31" i="8"/>
  <c r="AQ31" i="8"/>
  <c r="AN31" i="8"/>
  <c r="M31" i="8"/>
  <c r="J31" i="8"/>
  <c r="G31" i="8"/>
  <c r="D31" i="8"/>
  <c r="BI30" i="8"/>
  <c r="AK30" i="8"/>
  <c r="AE30" i="8"/>
  <c r="AB30" i="8"/>
  <c r="Y30" i="8"/>
  <c r="V30" i="8"/>
  <c r="S30" i="8"/>
  <c r="P30" i="8"/>
  <c r="M30" i="8"/>
  <c r="J30" i="8"/>
  <c r="G30" i="8"/>
  <c r="D30" i="8"/>
  <c r="BI29" i="8"/>
  <c r="AE29" i="8"/>
  <c r="V29" i="8"/>
  <c r="P29" i="8"/>
  <c r="M29" i="8"/>
  <c r="J29" i="8"/>
  <c r="G29" i="8"/>
  <c r="BI28" i="8"/>
  <c r="BF28" i="8"/>
  <c r="AE28" i="8"/>
  <c r="AB28" i="8"/>
  <c r="Y28" i="8"/>
  <c r="V28" i="8"/>
  <c r="P28" i="8"/>
  <c r="M28" i="8"/>
  <c r="J28" i="8"/>
  <c r="G28" i="8"/>
  <c r="BI27" i="8"/>
  <c r="M27" i="8"/>
  <c r="J27" i="8"/>
  <c r="G27" i="8"/>
  <c r="D27" i="8"/>
  <c r="BI26" i="8"/>
  <c r="AW26" i="8"/>
  <c r="AH26" i="8"/>
  <c r="V26" i="8"/>
  <c r="P26" i="8"/>
  <c r="M26" i="8"/>
  <c r="J26" i="8"/>
  <c r="G26" i="8"/>
  <c r="BI25" i="8"/>
  <c r="AW25" i="8"/>
  <c r="AT25" i="8"/>
  <c r="V25" i="8"/>
  <c r="S25" i="8"/>
  <c r="P25" i="8"/>
  <c r="M25" i="8"/>
  <c r="J25" i="8"/>
  <c r="G25" i="8"/>
  <c r="D25" i="8"/>
  <c r="BI24" i="8"/>
  <c r="S24" i="8"/>
  <c r="M24" i="8"/>
  <c r="G24" i="8"/>
  <c r="BI23" i="8"/>
  <c r="AK23" i="8"/>
  <c r="AH23" i="8"/>
  <c r="AE23" i="8"/>
  <c r="AB23" i="8"/>
  <c r="Y23" i="8"/>
  <c r="V23" i="8"/>
  <c r="P23" i="8"/>
  <c r="M23" i="8"/>
  <c r="J23" i="8"/>
  <c r="G23" i="8"/>
  <c r="BI22" i="8"/>
  <c r="AK22" i="8"/>
  <c r="AE22" i="8"/>
  <c r="P22" i="8"/>
  <c r="M22" i="8"/>
  <c r="J22" i="8"/>
  <c r="BI21" i="8"/>
  <c r="V21" i="8"/>
  <c r="P21" i="8"/>
  <c r="M21" i="8"/>
  <c r="J21" i="8"/>
  <c r="G21" i="8"/>
  <c r="BI20" i="8"/>
  <c r="AN20" i="8"/>
  <c r="V20" i="8"/>
  <c r="S20" i="8"/>
  <c r="P20" i="8"/>
  <c r="M20" i="8"/>
  <c r="J20" i="8"/>
  <c r="G20" i="8"/>
  <c r="D20" i="8"/>
  <c r="BI19" i="8"/>
  <c r="AW19" i="8"/>
  <c r="V19" i="8"/>
  <c r="P19" i="8"/>
  <c r="M19" i="8"/>
  <c r="J19" i="8"/>
  <c r="G19" i="8"/>
  <c r="D19" i="8"/>
  <c r="BI18" i="8"/>
  <c r="AN18" i="8"/>
  <c r="M18" i="8"/>
  <c r="G18" i="8"/>
  <c r="D18" i="8"/>
  <c r="BI17" i="8"/>
  <c r="V17" i="8"/>
  <c r="M17" i="8"/>
  <c r="J17" i="8"/>
  <c r="G17" i="8"/>
  <c r="BI16" i="8"/>
  <c r="AW16" i="8"/>
  <c r="AQ16" i="8"/>
  <c r="AN16" i="8"/>
  <c r="AE16" i="8"/>
  <c r="V16" i="8"/>
  <c r="P16" i="8"/>
  <c r="M16" i="8"/>
  <c r="J16" i="8"/>
  <c r="G16" i="8"/>
  <c r="D16" i="8"/>
  <c r="BI15" i="8"/>
  <c r="AW15" i="8"/>
  <c r="AK15" i="8"/>
  <c r="AH15" i="8"/>
  <c r="AE15" i="8"/>
  <c r="AB15" i="8"/>
  <c r="Y15" i="8"/>
  <c r="V15" i="8"/>
  <c r="P15" i="8"/>
  <c r="M15" i="8"/>
  <c r="J15" i="8"/>
  <c r="G15" i="8"/>
  <c r="BI14" i="8"/>
  <c r="BC14" i="8"/>
  <c r="AW14" i="8"/>
  <c r="AT14" i="8"/>
  <c r="AQ14" i="8"/>
  <c r="AN14" i="8"/>
  <c r="S14" i="8"/>
  <c r="P14" i="8"/>
  <c r="M14" i="8"/>
  <c r="G14" i="8"/>
  <c r="D14" i="8"/>
  <c r="BI13" i="8"/>
  <c r="BC13" i="8"/>
  <c r="AW13" i="8"/>
  <c r="AT13" i="8"/>
  <c r="AQ13" i="8"/>
  <c r="AN13" i="8"/>
  <c r="AK13" i="8"/>
  <c r="AE13" i="8"/>
  <c r="V13" i="8"/>
  <c r="S13" i="8"/>
  <c r="P13" i="8"/>
  <c r="M13" i="8"/>
  <c r="J13" i="8"/>
  <c r="G13" i="8"/>
  <c r="D13" i="8"/>
  <c r="BI11" i="8"/>
  <c r="AZ11" i="8"/>
  <c r="P11" i="8"/>
  <c r="M11" i="8"/>
  <c r="J11" i="8"/>
  <c r="G11" i="8"/>
  <c r="BI10" i="8"/>
  <c r="Y10" i="8"/>
  <c r="V10" i="8"/>
  <c r="P10" i="8"/>
  <c r="M10" i="8"/>
  <c r="J10" i="8"/>
  <c r="G10" i="8"/>
  <c r="BI9" i="8"/>
  <c r="AE9" i="8"/>
  <c r="AB9" i="8"/>
  <c r="V9" i="8"/>
  <c r="P9" i="8"/>
  <c r="M9" i="8"/>
  <c r="J9" i="8"/>
  <c r="G9" i="8"/>
  <c r="BI8" i="8"/>
  <c r="AK8" i="8"/>
  <c r="AH8" i="8"/>
  <c r="AE8" i="8"/>
  <c r="AB8" i="8"/>
  <c r="Y8" i="8"/>
  <c r="V8" i="8"/>
  <c r="P8" i="8"/>
  <c r="M8" i="8"/>
  <c r="J8" i="8"/>
  <c r="G8" i="8"/>
  <c r="BI7" i="8"/>
  <c r="V7" i="8"/>
  <c r="P7" i="8"/>
  <c r="M7" i="8"/>
  <c r="J7" i="8"/>
  <c r="G7" i="8"/>
  <c r="BI6" i="8"/>
  <c r="V6" i="8"/>
  <c r="P6" i="8"/>
  <c r="M6" i="8"/>
  <c r="J6" i="8"/>
  <c r="G6" i="8"/>
  <c r="BI5" i="8"/>
  <c r="V5" i="8"/>
  <c r="P5" i="8"/>
  <c r="M5" i="8"/>
  <c r="J5" i="8"/>
  <c r="G5" i="8"/>
  <c r="D5" i="8"/>
  <c r="BI4" i="8"/>
  <c r="S4" i="8"/>
  <c r="M4" i="8"/>
  <c r="J4" i="8"/>
  <c r="G4" i="8"/>
  <c r="BI3" i="8"/>
  <c r="BC3" i="8"/>
  <c r="AW3" i="8"/>
  <c r="AH3" i="8"/>
  <c r="V3" i="8"/>
  <c r="M3" i="8"/>
  <c r="J3" i="8"/>
  <c r="G3" i="8"/>
  <c r="BF32" i="7"/>
  <c r="BC32" i="7"/>
  <c r="AZ32" i="7"/>
  <c r="AW32" i="7"/>
  <c r="AT32" i="7"/>
  <c r="AQ32" i="7"/>
  <c r="AK32" i="7"/>
  <c r="AH32" i="7"/>
  <c r="AE32" i="7"/>
  <c r="AB32" i="7"/>
  <c r="Y32" i="7"/>
  <c r="V32" i="7"/>
  <c r="S32" i="7"/>
  <c r="P32" i="7"/>
  <c r="M32" i="7"/>
  <c r="J32" i="7"/>
  <c r="G32" i="7"/>
  <c r="D32" i="7"/>
  <c r="BF31" i="7"/>
  <c r="AW31" i="7"/>
  <c r="AT31" i="7"/>
  <c r="AQ31" i="7"/>
  <c r="AN31" i="7"/>
  <c r="M31" i="7"/>
  <c r="J31" i="7"/>
  <c r="G31" i="7"/>
  <c r="D31" i="7"/>
  <c r="BF30" i="7"/>
  <c r="AK30" i="7"/>
  <c r="AE30" i="7"/>
  <c r="AB30" i="7"/>
  <c r="Y30" i="7"/>
  <c r="V30" i="7"/>
  <c r="S30" i="7"/>
  <c r="P30" i="7"/>
  <c r="M30" i="7"/>
  <c r="J30" i="7"/>
  <c r="G30" i="7"/>
  <c r="D30" i="7"/>
  <c r="BF29" i="7"/>
  <c r="AE29" i="7"/>
  <c r="V29" i="7"/>
  <c r="P29" i="7"/>
  <c r="M29" i="7"/>
  <c r="J29" i="7"/>
  <c r="G29" i="7"/>
  <c r="BF28" i="7"/>
  <c r="BC28" i="7"/>
  <c r="AE28" i="7"/>
  <c r="AB28" i="7"/>
  <c r="Y28" i="7"/>
  <c r="V28" i="7"/>
  <c r="P28" i="7"/>
  <c r="M28" i="7"/>
  <c r="J28" i="7"/>
  <c r="G28" i="7"/>
  <c r="BF27" i="7"/>
  <c r="M27" i="7"/>
  <c r="J27" i="7"/>
  <c r="G27" i="7"/>
  <c r="D27" i="7"/>
  <c r="BF26" i="7"/>
  <c r="AW26" i="7"/>
  <c r="AH26" i="7"/>
  <c r="V26" i="7"/>
  <c r="P26" i="7"/>
  <c r="M26" i="7"/>
  <c r="J26" i="7"/>
  <c r="G26" i="7"/>
  <c r="BF25" i="7"/>
  <c r="AW25" i="7"/>
  <c r="AT25" i="7"/>
  <c r="V25" i="7"/>
  <c r="S25" i="7"/>
  <c r="P25" i="7"/>
  <c r="M25" i="7"/>
  <c r="J25" i="7"/>
  <c r="G25" i="7"/>
  <c r="D25" i="7"/>
  <c r="BF24" i="7"/>
  <c r="S24" i="7"/>
  <c r="M24" i="7"/>
  <c r="G24" i="7"/>
  <c r="BF23" i="7"/>
  <c r="AK23" i="7"/>
  <c r="AH23" i="7"/>
  <c r="AE23" i="7"/>
  <c r="AB23" i="7"/>
  <c r="Y23" i="7"/>
  <c r="V23" i="7"/>
  <c r="P23" i="7"/>
  <c r="M23" i="7"/>
  <c r="J23" i="7"/>
  <c r="G23" i="7"/>
  <c r="BF22" i="7"/>
  <c r="AK22" i="7"/>
  <c r="AE22" i="7"/>
  <c r="P22" i="7"/>
  <c r="M22" i="7"/>
  <c r="J22" i="7"/>
  <c r="BF21" i="7"/>
  <c r="V21" i="7"/>
  <c r="P21" i="7"/>
  <c r="M21" i="7"/>
  <c r="J21" i="7"/>
  <c r="G21" i="7"/>
  <c r="BF20" i="7"/>
  <c r="V20" i="7"/>
  <c r="S20" i="7"/>
  <c r="P20" i="7"/>
  <c r="M20" i="7"/>
  <c r="J20" i="7"/>
  <c r="G20" i="7"/>
  <c r="D20" i="7"/>
  <c r="BF19" i="7"/>
  <c r="AW19" i="7"/>
  <c r="AN19" i="7"/>
  <c r="AK19" i="7"/>
  <c r="V19" i="7"/>
  <c r="P19" i="7"/>
  <c r="M19" i="7"/>
  <c r="J19" i="7"/>
  <c r="G19" i="7"/>
  <c r="D19" i="7"/>
  <c r="BF18" i="7"/>
  <c r="AN18" i="7"/>
  <c r="V18" i="7"/>
  <c r="P18" i="7"/>
  <c r="M18" i="7"/>
  <c r="J18" i="7"/>
  <c r="G18" i="7"/>
  <c r="D18" i="7"/>
  <c r="BF17" i="7"/>
  <c r="P17" i="7"/>
  <c r="M17" i="7"/>
  <c r="J17" i="7"/>
  <c r="G17" i="7"/>
  <c r="BF16" i="7"/>
  <c r="AW16" i="7"/>
  <c r="AQ16" i="7"/>
  <c r="AN16" i="7"/>
  <c r="AE16" i="7"/>
  <c r="V16" i="7"/>
  <c r="P16" i="7"/>
  <c r="M16" i="7"/>
  <c r="J16" i="7"/>
  <c r="G16" i="7"/>
  <c r="D16" i="7"/>
  <c r="BF15" i="7"/>
  <c r="AW15" i="7"/>
  <c r="AK15" i="7"/>
  <c r="AH15" i="7"/>
  <c r="AE15" i="7"/>
  <c r="AB15" i="7"/>
  <c r="Y15" i="7"/>
  <c r="V15" i="7"/>
  <c r="P15" i="7"/>
  <c r="M15" i="7"/>
  <c r="J15" i="7"/>
  <c r="G15" i="7"/>
  <c r="BF14" i="7"/>
  <c r="AZ14" i="7"/>
  <c r="AW14" i="7"/>
  <c r="AT14" i="7"/>
  <c r="AQ14" i="7"/>
  <c r="AN14" i="7"/>
  <c r="S14" i="7"/>
  <c r="P14" i="7"/>
  <c r="M14" i="7"/>
  <c r="J14" i="7"/>
  <c r="G14" i="7"/>
  <c r="D14" i="7"/>
  <c r="BF13" i="7"/>
  <c r="AZ13" i="7"/>
  <c r="AW13" i="7"/>
  <c r="AT13" i="7"/>
  <c r="AQ13" i="7"/>
  <c r="AN13" i="7"/>
  <c r="AK13" i="7"/>
  <c r="AE13" i="7"/>
  <c r="V13" i="7"/>
  <c r="S13" i="7"/>
  <c r="P13" i="7"/>
  <c r="M13" i="7"/>
  <c r="J13" i="7"/>
  <c r="G13" i="7"/>
  <c r="D13" i="7"/>
  <c r="BF11" i="7"/>
  <c r="AZ11" i="7"/>
  <c r="P11" i="7"/>
  <c r="M11" i="7"/>
  <c r="J11" i="7"/>
  <c r="G11" i="7"/>
  <c r="BF10" i="7"/>
  <c r="Y10" i="7"/>
  <c r="V10" i="7"/>
  <c r="P10" i="7"/>
  <c r="M10" i="7"/>
  <c r="J10" i="7"/>
  <c r="G10" i="7"/>
  <c r="BF9" i="7"/>
  <c r="AE9" i="7"/>
  <c r="AB9" i="7"/>
  <c r="V9" i="7"/>
  <c r="P9" i="7"/>
  <c r="M9" i="7"/>
  <c r="J9" i="7"/>
  <c r="G9" i="7"/>
  <c r="BF8" i="7"/>
  <c r="AK8" i="7"/>
  <c r="AH8" i="7"/>
  <c r="AE8" i="7"/>
  <c r="AB8" i="7"/>
  <c r="Y8" i="7"/>
  <c r="V8" i="7"/>
  <c r="P8" i="7"/>
  <c r="M8" i="7"/>
  <c r="J8" i="7"/>
  <c r="G8" i="7"/>
  <c r="BF7" i="7"/>
  <c r="V7" i="7"/>
  <c r="P7" i="7"/>
  <c r="M7" i="7"/>
  <c r="J7" i="7"/>
  <c r="G7" i="7"/>
  <c r="BF6" i="7"/>
  <c r="V6" i="7"/>
  <c r="P6" i="7"/>
  <c r="M6" i="7"/>
  <c r="J6" i="7"/>
  <c r="G6" i="7"/>
  <c r="BF5" i="7"/>
  <c r="V5" i="7"/>
  <c r="P5" i="7"/>
  <c r="M5" i="7"/>
  <c r="J5" i="7"/>
  <c r="G5" i="7"/>
  <c r="D5" i="7"/>
  <c r="BF4" i="7"/>
  <c r="P4" i="7"/>
  <c r="M4" i="7"/>
  <c r="J4" i="7"/>
  <c r="G4" i="7"/>
  <c r="BF3" i="7"/>
  <c r="AZ3" i="7"/>
  <c r="AW3" i="7"/>
  <c r="AH3" i="7"/>
  <c r="V3" i="7"/>
  <c r="P3" i="7"/>
  <c r="M3" i="7"/>
  <c r="J3" i="7"/>
  <c r="G3" i="7"/>
  <c r="AU32" i="6"/>
  <c r="AS32" i="6"/>
  <c r="L32" i="6"/>
  <c r="K32" i="6"/>
  <c r="I32" i="6"/>
  <c r="AY31" i="6"/>
  <c r="AY32" i="6" s="1"/>
  <c r="AX31" i="6"/>
  <c r="AX32" i="6" s="1"/>
  <c r="AV31" i="6"/>
  <c r="AV32" i="6" s="1"/>
  <c r="AU31" i="6"/>
  <c r="AS31" i="6"/>
  <c r="AR31" i="6"/>
  <c r="AR32" i="6" s="1"/>
  <c r="AP31" i="6"/>
  <c r="AP32" i="6" s="1"/>
  <c r="AO31" i="6"/>
  <c r="AO32" i="6" s="1"/>
  <c r="AM31" i="6"/>
  <c r="AM32" i="6" s="1"/>
  <c r="AL31" i="6"/>
  <c r="AL32" i="6" s="1"/>
  <c r="AJ31" i="6"/>
  <c r="AJ32" i="6" s="1"/>
  <c r="AI31" i="6"/>
  <c r="AI32" i="6" s="1"/>
  <c r="AG31" i="6"/>
  <c r="AG32" i="6" s="1"/>
  <c r="AF31" i="6"/>
  <c r="AF32" i="6" s="1"/>
  <c r="AD31" i="6"/>
  <c r="AD32" i="6" s="1"/>
  <c r="AC31" i="6"/>
  <c r="AC32" i="6" s="1"/>
  <c r="AA31" i="6"/>
  <c r="AA32" i="6" s="1"/>
  <c r="Z31" i="6"/>
  <c r="Z32" i="6" s="1"/>
  <c r="X31" i="6"/>
  <c r="X32" i="6" s="1"/>
  <c r="W31" i="6"/>
  <c r="W32" i="6" s="1"/>
  <c r="U31" i="6"/>
  <c r="U32" i="6" s="1"/>
  <c r="T31" i="6"/>
  <c r="T32" i="6" s="1"/>
  <c r="R31" i="6"/>
  <c r="R32" i="6" s="1"/>
  <c r="Q31" i="6"/>
  <c r="Q32" i="6" s="1"/>
  <c r="O31" i="6"/>
  <c r="O32" i="6" s="1"/>
  <c r="N31" i="6"/>
  <c r="N32" i="6" s="1"/>
  <c r="L31" i="6"/>
  <c r="K31" i="6"/>
  <c r="I31" i="6"/>
  <c r="H31" i="6"/>
  <c r="H32" i="6" s="1"/>
  <c r="F31" i="6"/>
  <c r="F32" i="6" s="1"/>
  <c r="E31" i="6"/>
  <c r="E32" i="6" s="1"/>
  <c r="C31" i="6"/>
  <c r="C32" i="6" s="1"/>
  <c r="B31" i="6"/>
  <c r="B32" i="6" s="1"/>
  <c r="BB30" i="6"/>
  <c r="BC30" i="6" s="1"/>
  <c r="BA30" i="6"/>
  <c r="AK30" i="6"/>
  <c r="AE30" i="6"/>
  <c r="AB30" i="6"/>
  <c r="Y30" i="6"/>
  <c r="V30" i="6"/>
  <c r="S30" i="6"/>
  <c r="P30" i="6"/>
  <c r="M30" i="6"/>
  <c r="J30" i="6"/>
  <c r="G30" i="6"/>
  <c r="D30" i="6"/>
  <c r="BB29" i="6"/>
  <c r="BC29" i="6" s="1"/>
  <c r="BA29" i="6"/>
  <c r="AE29" i="6"/>
  <c r="V29" i="6"/>
  <c r="P29" i="6"/>
  <c r="M29" i="6"/>
  <c r="J29" i="6"/>
  <c r="G29" i="6"/>
  <c r="BB28" i="6"/>
  <c r="BC28" i="6" s="1"/>
  <c r="BA28" i="6"/>
  <c r="AE28" i="6"/>
  <c r="AB28" i="6"/>
  <c r="V28" i="6"/>
  <c r="P28" i="6"/>
  <c r="M28" i="6"/>
  <c r="J28" i="6"/>
  <c r="G28" i="6"/>
  <c r="BB27" i="6"/>
  <c r="BC27" i="6" s="1"/>
  <c r="BA27" i="6"/>
  <c r="M27" i="6"/>
  <c r="J27" i="6"/>
  <c r="G27" i="6"/>
  <c r="D27" i="6"/>
  <c r="BB26" i="6"/>
  <c r="BC26" i="6" s="1"/>
  <c r="BA26" i="6"/>
  <c r="AW26" i="6"/>
  <c r="AH26" i="6"/>
  <c r="V26" i="6"/>
  <c r="P26" i="6"/>
  <c r="M26" i="6"/>
  <c r="J26" i="6"/>
  <c r="G26" i="6"/>
  <c r="BB25" i="6"/>
  <c r="BC25" i="6" s="1"/>
  <c r="BA25" i="6"/>
  <c r="AW25" i="6"/>
  <c r="AT25" i="6"/>
  <c r="V25" i="6"/>
  <c r="S25" i="6"/>
  <c r="P25" i="6"/>
  <c r="M25" i="6"/>
  <c r="J25" i="6"/>
  <c r="G25" i="6"/>
  <c r="D25" i="6"/>
  <c r="BB24" i="6"/>
  <c r="BC24" i="6" s="1"/>
  <c r="BA24" i="6"/>
  <c r="S24" i="6"/>
  <c r="M24" i="6"/>
  <c r="G24" i="6"/>
  <c r="BB23" i="6"/>
  <c r="BC23" i="6" s="1"/>
  <c r="BA23" i="6"/>
  <c r="AK23" i="6"/>
  <c r="AH23" i="6"/>
  <c r="AE23" i="6"/>
  <c r="AB23" i="6"/>
  <c r="Y23" i="6"/>
  <c r="V23" i="6"/>
  <c r="P23" i="6"/>
  <c r="M23" i="6"/>
  <c r="J23" i="6"/>
  <c r="G23" i="6"/>
  <c r="BB22" i="6"/>
  <c r="BC22" i="6" s="1"/>
  <c r="BA22" i="6"/>
  <c r="AK22" i="6"/>
  <c r="AE22" i="6"/>
  <c r="P22" i="6"/>
  <c r="M22" i="6"/>
  <c r="J22" i="6"/>
  <c r="BB21" i="6"/>
  <c r="BC21" i="6" s="1"/>
  <c r="BA21" i="6"/>
  <c r="V21" i="6"/>
  <c r="P21" i="6"/>
  <c r="M21" i="6"/>
  <c r="J21" i="6"/>
  <c r="G21" i="6"/>
  <c r="BC20" i="6"/>
  <c r="BB20" i="6"/>
  <c r="BA20" i="6"/>
  <c r="V20" i="6"/>
  <c r="S20" i="6"/>
  <c r="P20" i="6"/>
  <c r="M20" i="6"/>
  <c r="J20" i="6"/>
  <c r="G20" i="6"/>
  <c r="D20" i="6"/>
  <c r="BB19" i="6"/>
  <c r="BC19" i="6" s="1"/>
  <c r="BA19" i="6"/>
  <c r="AW19" i="6"/>
  <c r="V19" i="6"/>
  <c r="P19" i="6"/>
  <c r="M19" i="6"/>
  <c r="J19" i="6"/>
  <c r="G19" i="6"/>
  <c r="D19" i="6"/>
  <c r="BB18" i="6"/>
  <c r="BC18" i="6" s="1"/>
  <c r="BA18" i="6"/>
  <c r="AN18" i="6"/>
  <c r="V18" i="6"/>
  <c r="P18" i="6"/>
  <c r="M18" i="6"/>
  <c r="J18" i="6"/>
  <c r="G18" i="6"/>
  <c r="D18" i="6"/>
  <c r="BB17" i="6"/>
  <c r="BC17" i="6" s="1"/>
  <c r="BA17" i="6"/>
  <c r="P17" i="6"/>
  <c r="M17" i="6"/>
  <c r="J17" i="6"/>
  <c r="G17" i="6"/>
  <c r="BB16" i="6"/>
  <c r="BC16" i="6" s="1"/>
  <c r="BA16" i="6"/>
  <c r="AW16" i="6"/>
  <c r="AQ16" i="6"/>
  <c r="AN16" i="6"/>
  <c r="AE16" i="6"/>
  <c r="V16" i="6"/>
  <c r="P16" i="6"/>
  <c r="M16" i="6"/>
  <c r="J16" i="6"/>
  <c r="G16" i="6"/>
  <c r="D16" i="6"/>
  <c r="BB15" i="6"/>
  <c r="BC15" i="6" s="1"/>
  <c r="BA15" i="6"/>
  <c r="AH15" i="6"/>
  <c r="AE15" i="6"/>
  <c r="AB15" i="6"/>
  <c r="Y15" i="6"/>
  <c r="V15" i="6"/>
  <c r="P15" i="6"/>
  <c r="M15" i="6"/>
  <c r="J15" i="6"/>
  <c r="G15" i="6"/>
  <c r="BB14" i="6"/>
  <c r="BC14" i="6" s="1"/>
  <c r="BA14" i="6"/>
  <c r="AZ14" i="6"/>
  <c r="AW14" i="6"/>
  <c r="AT14" i="6"/>
  <c r="AQ14" i="6"/>
  <c r="AN14" i="6"/>
  <c r="S14" i="6"/>
  <c r="P14" i="6"/>
  <c r="M14" i="6"/>
  <c r="J14" i="6"/>
  <c r="G14" i="6"/>
  <c r="D14" i="6"/>
  <c r="BB13" i="6"/>
  <c r="BC13" i="6" s="1"/>
  <c r="BA13" i="6"/>
  <c r="AZ13" i="6"/>
  <c r="AW13" i="6"/>
  <c r="AT13" i="6"/>
  <c r="AQ13" i="6"/>
  <c r="AN13" i="6"/>
  <c r="AK13" i="6"/>
  <c r="AE13" i="6"/>
  <c r="V13" i="6"/>
  <c r="S13" i="6"/>
  <c r="P13" i="6"/>
  <c r="M13" i="6"/>
  <c r="J13" i="6"/>
  <c r="G13" i="6"/>
  <c r="D13" i="6"/>
  <c r="BB12" i="6"/>
  <c r="BC12" i="6" s="1"/>
  <c r="BA12" i="6"/>
  <c r="BC11" i="6"/>
  <c r="BB11" i="6"/>
  <c r="BA11" i="6"/>
  <c r="AZ11" i="6"/>
  <c r="P11" i="6"/>
  <c r="M11" i="6"/>
  <c r="J11" i="6"/>
  <c r="G11" i="6"/>
  <c r="BB10" i="6"/>
  <c r="BC10" i="6" s="1"/>
  <c r="BA10" i="6"/>
  <c r="Y10" i="6"/>
  <c r="V10" i="6"/>
  <c r="P10" i="6"/>
  <c r="M10" i="6"/>
  <c r="J10" i="6"/>
  <c r="G10" i="6"/>
  <c r="BB9" i="6"/>
  <c r="BC9" i="6" s="1"/>
  <c r="BA9" i="6"/>
  <c r="AE9" i="6"/>
  <c r="AB9" i="6"/>
  <c r="V9" i="6"/>
  <c r="P9" i="6"/>
  <c r="M9" i="6"/>
  <c r="J9" i="6"/>
  <c r="G9" i="6"/>
  <c r="BB8" i="6"/>
  <c r="BC8" i="6" s="1"/>
  <c r="BA8" i="6"/>
  <c r="AK8" i="6"/>
  <c r="AH8" i="6"/>
  <c r="AE8" i="6"/>
  <c r="AB8" i="6"/>
  <c r="Y8" i="6"/>
  <c r="V8" i="6"/>
  <c r="P8" i="6"/>
  <c r="M8" i="6"/>
  <c r="J8" i="6"/>
  <c r="G8" i="6"/>
  <c r="BB7" i="6"/>
  <c r="BC7" i="6" s="1"/>
  <c r="BA7" i="6"/>
  <c r="V7" i="6"/>
  <c r="P7" i="6"/>
  <c r="M7" i="6"/>
  <c r="J7" i="6"/>
  <c r="G7" i="6"/>
  <c r="BC6" i="6"/>
  <c r="BB6" i="6"/>
  <c r="BA6" i="6"/>
  <c r="V6" i="6"/>
  <c r="P6" i="6"/>
  <c r="M6" i="6"/>
  <c r="J6" i="6"/>
  <c r="G6" i="6"/>
  <c r="BB5" i="6"/>
  <c r="BC5" i="6" s="1"/>
  <c r="BA5" i="6"/>
  <c r="V5" i="6"/>
  <c r="P5" i="6"/>
  <c r="M5" i="6"/>
  <c r="J5" i="6"/>
  <c r="G5" i="6"/>
  <c r="D5" i="6"/>
  <c r="BB4" i="6"/>
  <c r="BA4" i="6"/>
  <c r="P4" i="6"/>
  <c r="M4" i="6"/>
  <c r="J4" i="6"/>
  <c r="G4" i="6"/>
  <c r="BC3" i="6"/>
  <c r="BB3" i="6"/>
  <c r="BA3" i="6"/>
  <c r="AZ3" i="6"/>
  <c r="AW3" i="6"/>
  <c r="AH3" i="6"/>
  <c r="V3" i="6"/>
  <c r="M3" i="6"/>
  <c r="J3" i="6"/>
  <c r="G3" i="6"/>
  <c r="V32" i="6" l="1"/>
  <c r="AW31" i="6"/>
  <c r="Y32" i="6"/>
  <c r="AB32" i="6"/>
  <c r="AE32" i="6"/>
  <c r="J32" i="6"/>
  <c r="AT32" i="6"/>
  <c r="M32" i="6"/>
  <c r="AW32" i="6"/>
  <c r="G32" i="6"/>
  <c r="AQ32" i="6"/>
  <c r="P32" i="6"/>
  <c r="AH32" i="6"/>
  <c r="AZ32" i="6"/>
  <c r="S32" i="6"/>
  <c r="AK32" i="6"/>
  <c r="D32" i="6"/>
  <c r="BA31" i="6"/>
  <c r="BA32" i="6" s="1"/>
  <c r="D31" i="6"/>
  <c r="BB31" i="6"/>
  <c r="BC31" i="6" s="1"/>
  <c r="BC4" i="6"/>
  <c r="AY32" i="5"/>
  <c r="AZ32" i="5" s="1"/>
  <c r="AX32" i="5"/>
  <c r="AV32" i="5"/>
  <c r="AW32" i="5" s="1"/>
  <c r="AU32" i="5"/>
  <c r="AS32" i="5"/>
  <c r="AT32" i="5" s="1"/>
  <c r="AR32" i="5"/>
  <c r="AP32" i="5"/>
  <c r="AQ32" i="5" s="1"/>
  <c r="AO32" i="5"/>
  <c r="AM32" i="5"/>
  <c r="AN32" i="5" s="1"/>
  <c r="AL32" i="5"/>
  <c r="AJ32" i="5"/>
  <c r="AK32" i="5" s="1"/>
  <c r="AI32" i="5"/>
  <c r="AG32" i="5"/>
  <c r="AH32" i="5" s="1"/>
  <c r="AF32" i="5"/>
  <c r="AD32" i="5"/>
  <c r="AE32" i="5" s="1"/>
  <c r="AC32" i="5"/>
  <c r="AA32" i="5"/>
  <c r="AB32" i="5" s="1"/>
  <c r="Z32" i="5"/>
  <c r="X32" i="5"/>
  <c r="Y32" i="5" s="1"/>
  <c r="W32" i="5"/>
  <c r="U32" i="5"/>
  <c r="V32" i="5" s="1"/>
  <c r="T32" i="5"/>
  <c r="R32" i="5"/>
  <c r="S32" i="5" s="1"/>
  <c r="Q32" i="5"/>
  <c r="O32" i="5"/>
  <c r="P32" i="5" s="1"/>
  <c r="N32" i="5"/>
  <c r="L32" i="5"/>
  <c r="M32" i="5" s="1"/>
  <c r="K32" i="5"/>
  <c r="I32" i="5"/>
  <c r="J32" i="5" s="1"/>
  <c r="H32" i="5"/>
  <c r="F32" i="5"/>
  <c r="G32" i="5" s="1"/>
  <c r="E32" i="5"/>
  <c r="C32" i="5"/>
  <c r="D32" i="5" s="1"/>
  <c r="B32" i="5"/>
  <c r="BB31" i="5"/>
  <c r="BC31" i="5" s="1"/>
  <c r="BA31" i="5"/>
  <c r="AW31" i="5"/>
  <c r="AT31" i="5"/>
  <c r="AQ31" i="5"/>
  <c r="AN31" i="5"/>
  <c r="M31" i="5"/>
  <c r="J31" i="5"/>
  <c r="G31" i="5"/>
  <c r="D31" i="5"/>
  <c r="BB30" i="5"/>
  <c r="BC30" i="5" s="1"/>
  <c r="BA30" i="5"/>
  <c r="AK30" i="5"/>
  <c r="AE30" i="5"/>
  <c r="AB30" i="5"/>
  <c r="Y30" i="5"/>
  <c r="V30" i="5"/>
  <c r="S30" i="5"/>
  <c r="P30" i="5"/>
  <c r="M30" i="5"/>
  <c r="J30" i="5"/>
  <c r="G30" i="5"/>
  <c r="D30" i="5"/>
  <c r="BB29" i="5"/>
  <c r="BC29" i="5" s="1"/>
  <c r="BA29" i="5"/>
  <c r="AE29" i="5"/>
  <c r="V29" i="5"/>
  <c r="P29" i="5"/>
  <c r="M29" i="5"/>
  <c r="J29" i="5"/>
  <c r="G29" i="5"/>
  <c r="BB28" i="5"/>
  <c r="BC28" i="5" s="1"/>
  <c r="BA28" i="5"/>
  <c r="AE28" i="5"/>
  <c r="AB28" i="5"/>
  <c r="V28" i="5"/>
  <c r="P28" i="5"/>
  <c r="M28" i="5"/>
  <c r="J28" i="5"/>
  <c r="G28" i="5"/>
  <c r="BB27" i="5"/>
  <c r="BC27" i="5" s="1"/>
  <c r="BA27" i="5"/>
  <c r="M27" i="5"/>
  <c r="J27" i="5"/>
  <c r="G27" i="5"/>
  <c r="D27" i="5"/>
  <c r="BB26" i="5"/>
  <c r="BC26" i="5" s="1"/>
  <c r="BA26" i="5"/>
  <c r="AW26" i="5"/>
  <c r="AH26" i="5"/>
  <c r="V26" i="5"/>
  <c r="P26" i="5"/>
  <c r="M26" i="5"/>
  <c r="J26" i="5"/>
  <c r="G26" i="5"/>
  <c r="BB25" i="5"/>
  <c r="BC25" i="5" s="1"/>
  <c r="BA25" i="5"/>
  <c r="AW25" i="5"/>
  <c r="AT25" i="5"/>
  <c r="V25" i="5"/>
  <c r="S25" i="5"/>
  <c r="P25" i="5"/>
  <c r="M25" i="5"/>
  <c r="J25" i="5"/>
  <c r="G25" i="5"/>
  <c r="D25" i="5"/>
  <c r="BB24" i="5"/>
  <c r="BC24" i="5" s="1"/>
  <c r="BA24" i="5"/>
  <c r="S24" i="5"/>
  <c r="M24" i="5"/>
  <c r="G24" i="5"/>
  <c r="BB23" i="5"/>
  <c r="BC23" i="5" s="1"/>
  <c r="BA23" i="5"/>
  <c r="AK23" i="5"/>
  <c r="AH23" i="5"/>
  <c r="AE23" i="5"/>
  <c r="AB23" i="5"/>
  <c r="Y23" i="5"/>
  <c r="V23" i="5"/>
  <c r="P23" i="5"/>
  <c r="M23" i="5"/>
  <c r="J23" i="5"/>
  <c r="G23" i="5"/>
  <c r="BB22" i="5"/>
  <c r="BC22" i="5" s="1"/>
  <c r="BA22" i="5"/>
  <c r="AK22" i="5"/>
  <c r="AE22" i="5"/>
  <c r="P22" i="5"/>
  <c r="M22" i="5"/>
  <c r="J22" i="5"/>
  <c r="BB21" i="5"/>
  <c r="BC21" i="5" s="1"/>
  <c r="BA21" i="5"/>
  <c r="V21" i="5"/>
  <c r="P21" i="5"/>
  <c r="M21" i="5"/>
  <c r="J21" i="5"/>
  <c r="G21" i="5"/>
  <c r="BB20" i="5"/>
  <c r="BC20" i="5" s="1"/>
  <c r="BA20" i="5"/>
  <c r="V20" i="5"/>
  <c r="S20" i="5"/>
  <c r="P20" i="5"/>
  <c r="M20" i="5"/>
  <c r="J20" i="5"/>
  <c r="G20" i="5"/>
  <c r="D20" i="5"/>
  <c r="BB19" i="5"/>
  <c r="BC19" i="5" s="1"/>
  <c r="BA19" i="5"/>
  <c r="AW19" i="5"/>
  <c r="V19" i="5"/>
  <c r="P19" i="5"/>
  <c r="M19" i="5"/>
  <c r="J19" i="5"/>
  <c r="G19" i="5"/>
  <c r="D19" i="5"/>
  <c r="BB18" i="5"/>
  <c r="BC18" i="5" s="1"/>
  <c r="BA18" i="5"/>
  <c r="AN18" i="5"/>
  <c r="V18" i="5"/>
  <c r="P18" i="5"/>
  <c r="M18" i="5"/>
  <c r="J18" i="5"/>
  <c r="G18" i="5"/>
  <c r="D18" i="5"/>
  <c r="BB17" i="5"/>
  <c r="BC17" i="5" s="1"/>
  <c r="BA17" i="5"/>
  <c r="P17" i="5"/>
  <c r="M17" i="5"/>
  <c r="J17" i="5"/>
  <c r="G17" i="5"/>
  <c r="BB16" i="5"/>
  <c r="BC16" i="5" s="1"/>
  <c r="BA16" i="5"/>
  <c r="AW16" i="5"/>
  <c r="AQ16" i="5"/>
  <c r="AN16" i="5"/>
  <c r="V16" i="5"/>
  <c r="P16" i="5"/>
  <c r="M16" i="5"/>
  <c r="J16" i="5"/>
  <c r="G16" i="5"/>
  <c r="D16" i="5"/>
  <c r="BB15" i="5"/>
  <c r="BC15" i="5" s="1"/>
  <c r="BA15" i="5"/>
  <c r="AE15" i="5"/>
  <c r="AB15" i="5"/>
  <c r="V15" i="5"/>
  <c r="P15" i="5"/>
  <c r="M15" i="5"/>
  <c r="J15" i="5"/>
  <c r="G15" i="5"/>
  <c r="BB14" i="5"/>
  <c r="BC14" i="5" s="1"/>
  <c r="BA14" i="5"/>
  <c r="AZ14" i="5"/>
  <c r="AW14" i="5"/>
  <c r="AT14" i="5"/>
  <c r="AQ14" i="5"/>
  <c r="AN14" i="5"/>
  <c r="S14" i="5"/>
  <c r="P14" i="5"/>
  <c r="M14" i="5"/>
  <c r="J14" i="5"/>
  <c r="G14" i="5"/>
  <c r="D14" i="5"/>
  <c r="BB13" i="5"/>
  <c r="BC13" i="5" s="1"/>
  <c r="BA13" i="5"/>
  <c r="AZ13" i="5"/>
  <c r="AW13" i="5"/>
  <c r="AT13" i="5"/>
  <c r="AQ13" i="5"/>
  <c r="AN13" i="5"/>
  <c r="AK13" i="5"/>
  <c r="AE13" i="5"/>
  <c r="V13" i="5"/>
  <c r="S13" i="5"/>
  <c r="P13" i="5"/>
  <c r="M13" i="5"/>
  <c r="J13" i="5"/>
  <c r="G13" i="5"/>
  <c r="D13" i="5"/>
  <c r="BB12" i="5"/>
  <c r="BA12" i="5"/>
  <c r="BB11" i="5"/>
  <c r="BC11" i="5" s="1"/>
  <c r="BA11" i="5"/>
  <c r="AZ11" i="5"/>
  <c r="P11" i="5"/>
  <c r="M11" i="5"/>
  <c r="J11" i="5"/>
  <c r="G11" i="5"/>
  <c r="BB10" i="5"/>
  <c r="BC10" i="5" s="1"/>
  <c r="BA10" i="5"/>
  <c r="Y10" i="5"/>
  <c r="V10" i="5"/>
  <c r="P10" i="5"/>
  <c r="M10" i="5"/>
  <c r="J10" i="5"/>
  <c r="G10" i="5"/>
  <c r="BB9" i="5"/>
  <c r="BC9" i="5" s="1"/>
  <c r="BA9" i="5"/>
  <c r="AE9" i="5"/>
  <c r="AB9" i="5"/>
  <c r="V9" i="5"/>
  <c r="P9" i="5"/>
  <c r="M9" i="5"/>
  <c r="J9" i="5"/>
  <c r="G9" i="5"/>
  <c r="BB8" i="5"/>
  <c r="BC8" i="5" s="1"/>
  <c r="BA8" i="5"/>
  <c r="AK8" i="5"/>
  <c r="AH8" i="5"/>
  <c r="AE8" i="5"/>
  <c r="AB8" i="5"/>
  <c r="Y8" i="5"/>
  <c r="V8" i="5"/>
  <c r="P8" i="5"/>
  <c r="M8" i="5"/>
  <c r="J8" i="5"/>
  <c r="G8" i="5"/>
  <c r="BB7" i="5"/>
  <c r="BC7" i="5" s="1"/>
  <c r="BA7" i="5"/>
  <c r="V7" i="5"/>
  <c r="P7" i="5"/>
  <c r="M7" i="5"/>
  <c r="J7" i="5"/>
  <c r="G7" i="5"/>
  <c r="BB6" i="5"/>
  <c r="BC6" i="5" s="1"/>
  <c r="BA6" i="5"/>
  <c r="V6" i="5"/>
  <c r="P6" i="5"/>
  <c r="M6" i="5"/>
  <c r="J6" i="5"/>
  <c r="G6" i="5"/>
  <c r="BB5" i="5"/>
  <c r="BC5" i="5" s="1"/>
  <c r="BA5" i="5"/>
  <c r="V5" i="5"/>
  <c r="P5" i="5"/>
  <c r="M5" i="5"/>
  <c r="J5" i="5"/>
  <c r="G5" i="5"/>
  <c r="D5" i="5"/>
  <c r="BB4" i="5"/>
  <c r="BC4" i="5" s="1"/>
  <c r="BA4" i="5"/>
  <c r="P4" i="5"/>
  <c r="M4" i="5"/>
  <c r="J4" i="5"/>
  <c r="G4" i="5"/>
  <c r="BB3" i="5"/>
  <c r="BC3" i="5" s="1"/>
  <c r="BA3" i="5"/>
  <c r="BA32" i="5" s="1"/>
  <c r="AZ3" i="5"/>
  <c r="AW3" i="5"/>
  <c r="AH3" i="5"/>
  <c r="V3" i="5"/>
  <c r="M3" i="5"/>
  <c r="J3" i="5"/>
  <c r="G3" i="5"/>
  <c r="BB32" i="6" l="1"/>
  <c r="BC32" i="6" s="1"/>
  <c r="BB32" i="5"/>
  <c r="BC32" i="5" s="1"/>
  <c r="AY34" i="4"/>
  <c r="AZ34" i="4" s="1"/>
  <c r="AX34" i="4"/>
  <c r="AV34" i="4"/>
  <c r="AW34" i="4" s="1"/>
  <c r="AU34" i="4"/>
  <c r="AS34" i="4"/>
  <c r="AT34" i="4" s="1"/>
  <c r="AR34" i="4"/>
  <c r="AQ34" i="4"/>
  <c r="AO34" i="4"/>
  <c r="AM34" i="4"/>
  <c r="AN34" i="4" s="1"/>
  <c r="AL34" i="4"/>
  <c r="AJ34" i="4"/>
  <c r="AK34" i="4" s="1"/>
  <c r="AI34" i="4"/>
  <c r="AG34" i="4"/>
  <c r="AH34" i="4" s="1"/>
  <c r="AF34" i="4"/>
  <c r="AD34" i="4"/>
  <c r="AE34" i="4" s="1"/>
  <c r="AC34" i="4"/>
  <c r="AA34" i="4"/>
  <c r="AB34" i="4" s="1"/>
  <c r="Z34" i="4"/>
  <c r="X34" i="4"/>
  <c r="Y34" i="4" s="1"/>
  <c r="W34" i="4"/>
  <c r="U34" i="4"/>
  <c r="V34" i="4" s="1"/>
  <c r="T34" i="4"/>
  <c r="R34" i="4"/>
  <c r="S34" i="4" s="1"/>
  <c r="Q34" i="4"/>
  <c r="O34" i="4"/>
  <c r="P34" i="4" s="1"/>
  <c r="N34" i="4"/>
  <c r="L34" i="4"/>
  <c r="M34" i="4" s="1"/>
  <c r="K34" i="4"/>
  <c r="I34" i="4"/>
  <c r="J34" i="4" s="1"/>
  <c r="H34" i="4"/>
  <c r="F34" i="4"/>
  <c r="E34" i="4"/>
  <c r="C34" i="4"/>
  <c r="D34" i="4" s="1"/>
  <c r="B34" i="4"/>
  <c r="BB33" i="4"/>
  <c r="BC33" i="4" s="1"/>
  <c r="BA33" i="4"/>
  <c r="S33" i="4"/>
  <c r="P33" i="4"/>
  <c r="M33" i="4"/>
  <c r="J33" i="4"/>
  <c r="G33" i="4"/>
  <c r="BB32" i="4"/>
  <c r="BC32" i="4" s="1"/>
  <c r="BA32" i="4"/>
  <c r="AE32" i="4"/>
  <c r="V32" i="4"/>
  <c r="P32" i="4"/>
  <c r="M32" i="4"/>
  <c r="J32" i="4"/>
  <c r="G32" i="4"/>
  <c r="BC31" i="4"/>
  <c r="BB31" i="4"/>
  <c r="BA31" i="4"/>
  <c r="AE31" i="4"/>
  <c r="AB31" i="4"/>
  <c r="V31" i="4"/>
  <c r="P31" i="4"/>
  <c r="M31" i="4"/>
  <c r="J31" i="4"/>
  <c r="G31" i="4"/>
  <c r="BB30" i="4"/>
  <c r="BC30" i="4" s="1"/>
  <c r="BA30" i="4"/>
  <c r="M30" i="4"/>
  <c r="J30" i="4"/>
  <c r="G30" i="4"/>
  <c r="D30" i="4"/>
  <c r="BB29" i="4"/>
  <c r="BC29" i="4" s="1"/>
  <c r="BA29" i="4"/>
  <c r="AW29" i="4"/>
  <c r="V29" i="4"/>
  <c r="P29" i="4"/>
  <c r="M29" i="4"/>
  <c r="J29" i="4"/>
  <c r="G29" i="4"/>
  <c r="BB28" i="4"/>
  <c r="BC28" i="4" s="1"/>
  <c r="BA28" i="4"/>
  <c r="AW28" i="4"/>
  <c r="AT28" i="4"/>
  <c r="AQ28" i="4"/>
  <c r="V28" i="4"/>
  <c r="S28" i="4"/>
  <c r="P28" i="4"/>
  <c r="M28" i="4"/>
  <c r="J28" i="4"/>
  <c r="G28" i="4"/>
  <c r="D28" i="4"/>
  <c r="BB27" i="4"/>
  <c r="BC27" i="4" s="1"/>
  <c r="BA27" i="4"/>
  <c r="S27" i="4"/>
  <c r="M27" i="4"/>
  <c r="G27" i="4"/>
  <c r="BB26" i="4"/>
  <c r="BC26" i="4" s="1"/>
  <c r="BA26" i="4"/>
  <c r="AK26" i="4"/>
  <c r="AE26" i="4"/>
  <c r="AB26" i="4"/>
  <c r="Y26" i="4"/>
  <c r="V26" i="4"/>
  <c r="P26" i="4"/>
  <c r="M26" i="4"/>
  <c r="J26" i="4"/>
  <c r="G26" i="4"/>
  <c r="BB25" i="4"/>
  <c r="BC25" i="4" s="1"/>
  <c r="BA25" i="4"/>
  <c r="AK25" i="4"/>
  <c r="P25" i="4"/>
  <c r="M25" i="4"/>
  <c r="J25" i="4"/>
  <c r="BB24" i="4"/>
  <c r="BC24" i="4" s="1"/>
  <c r="BA24" i="4"/>
  <c r="AW24" i="4"/>
  <c r="M24" i="4"/>
  <c r="J24" i="4"/>
  <c r="D24" i="4"/>
  <c r="BB23" i="4"/>
  <c r="BC23" i="4" s="1"/>
  <c r="BA23" i="4"/>
  <c r="V23" i="4"/>
  <c r="P23" i="4"/>
  <c r="M23" i="4"/>
  <c r="J23" i="4"/>
  <c r="G23" i="4"/>
  <c r="BB22" i="4"/>
  <c r="BC22" i="4" s="1"/>
  <c r="BA22" i="4"/>
  <c r="S22" i="4"/>
  <c r="P22" i="4"/>
  <c r="M22" i="4"/>
  <c r="J22" i="4"/>
  <c r="G22" i="4"/>
  <c r="D22" i="4"/>
  <c r="BB21" i="4"/>
  <c r="BC21" i="4" s="1"/>
  <c r="BA21" i="4"/>
  <c r="AW21" i="4"/>
  <c r="V21" i="4"/>
  <c r="P21" i="4"/>
  <c r="M21" i="4"/>
  <c r="J21" i="4"/>
  <c r="G21" i="4"/>
  <c r="D21" i="4"/>
  <c r="BB20" i="4"/>
  <c r="BC20" i="4" s="1"/>
  <c r="BA20" i="4"/>
  <c r="AN20" i="4"/>
  <c r="V20" i="4"/>
  <c r="P20" i="4"/>
  <c r="M20" i="4"/>
  <c r="J20" i="4"/>
  <c r="G20" i="4"/>
  <c r="D20" i="4"/>
  <c r="BC19" i="4"/>
  <c r="BB19" i="4"/>
  <c r="BA19" i="4"/>
  <c r="P19" i="4"/>
  <c r="M19" i="4"/>
  <c r="J19" i="4"/>
  <c r="G19" i="4"/>
  <c r="BB18" i="4"/>
  <c r="BC18" i="4" s="1"/>
  <c r="BA18" i="4"/>
  <c r="AW18" i="4"/>
  <c r="P18" i="4"/>
  <c r="M18" i="4"/>
  <c r="J18" i="4"/>
  <c r="G18" i="4"/>
  <c r="BB17" i="4"/>
  <c r="BC17" i="4" s="1"/>
  <c r="BA17" i="4"/>
  <c r="AE17" i="4"/>
  <c r="V17" i="4"/>
  <c r="P17" i="4"/>
  <c r="M17" i="4"/>
  <c r="J17" i="4"/>
  <c r="G17" i="4"/>
  <c r="BC16" i="4"/>
  <c r="BB16" i="4"/>
  <c r="BA16" i="4"/>
  <c r="AZ16" i="4"/>
  <c r="AW16" i="4"/>
  <c r="AT16" i="4"/>
  <c r="AQ16" i="4"/>
  <c r="AN16" i="4"/>
  <c r="S16" i="4"/>
  <c r="P16" i="4"/>
  <c r="M16" i="4"/>
  <c r="J16" i="4"/>
  <c r="G16" i="4"/>
  <c r="D16" i="4"/>
  <c r="BB15" i="4"/>
  <c r="BC15" i="4" s="1"/>
  <c r="BA15" i="4"/>
  <c r="AZ15" i="4"/>
  <c r="AW15" i="4"/>
  <c r="AT15" i="4"/>
  <c r="AQ15" i="4"/>
  <c r="AN15" i="4"/>
  <c r="V15" i="4"/>
  <c r="S15" i="4"/>
  <c r="P15" i="4"/>
  <c r="M15" i="4"/>
  <c r="J15" i="4"/>
  <c r="G15" i="4"/>
  <c r="D15" i="4"/>
  <c r="BB14" i="4"/>
  <c r="BA14" i="4"/>
  <c r="BB13" i="4"/>
  <c r="BC13" i="4" s="1"/>
  <c r="BA13" i="4"/>
  <c r="AZ13" i="4"/>
  <c r="P13" i="4"/>
  <c r="M13" i="4"/>
  <c r="J13" i="4"/>
  <c r="G13" i="4"/>
  <c r="BB12" i="4"/>
  <c r="BC12" i="4" s="1"/>
  <c r="BA12" i="4"/>
  <c r="Y12" i="4"/>
  <c r="V12" i="4"/>
  <c r="P12" i="4"/>
  <c r="M12" i="4"/>
  <c r="J12" i="4"/>
  <c r="G12" i="4"/>
  <c r="BC11" i="4"/>
  <c r="BB11" i="4"/>
  <c r="BA11" i="4"/>
  <c r="AE11" i="4"/>
  <c r="AB11" i="4"/>
  <c r="V11" i="4"/>
  <c r="P11" i="4"/>
  <c r="M11" i="4"/>
  <c r="J11" i="4"/>
  <c r="G11" i="4"/>
  <c r="BB10" i="4"/>
  <c r="BC10" i="4" s="1"/>
  <c r="BA10" i="4"/>
  <c r="AK10" i="4"/>
  <c r="AH10" i="4"/>
  <c r="AE10" i="4"/>
  <c r="AB10" i="4"/>
  <c r="Y10" i="4"/>
  <c r="V10" i="4"/>
  <c r="P10" i="4"/>
  <c r="M10" i="4"/>
  <c r="J10" i="4"/>
  <c r="G10" i="4"/>
  <c r="BB9" i="4"/>
  <c r="BC9" i="4" s="1"/>
  <c r="BA9" i="4"/>
  <c r="AQ9" i="4"/>
  <c r="D9" i="4"/>
  <c r="BB8" i="4"/>
  <c r="BC8" i="4" s="1"/>
  <c r="BA8" i="4"/>
  <c r="V8" i="4"/>
  <c r="P8" i="4"/>
  <c r="M8" i="4"/>
  <c r="J8" i="4"/>
  <c r="G8" i="4"/>
  <c r="BC7" i="4"/>
  <c r="BB7" i="4"/>
  <c r="BA7" i="4"/>
  <c r="V7" i="4"/>
  <c r="P7" i="4"/>
  <c r="M7" i="4"/>
  <c r="J7" i="4"/>
  <c r="G7" i="4"/>
  <c r="BB6" i="4"/>
  <c r="BC6" i="4" s="1"/>
  <c r="BA6" i="4"/>
  <c r="V6" i="4"/>
  <c r="P6" i="4"/>
  <c r="M6" i="4"/>
  <c r="J6" i="4"/>
  <c r="G6" i="4"/>
  <c r="D6" i="4"/>
  <c r="BB5" i="4"/>
  <c r="BC5" i="4" s="1"/>
  <c r="BA5" i="4"/>
  <c r="P5" i="4"/>
  <c r="M5" i="4"/>
  <c r="J5" i="4"/>
  <c r="G5" i="4"/>
  <c r="BC4" i="4"/>
  <c r="BB4" i="4"/>
  <c r="BA4" i="4"/>
  <c r="AZ4" i="4"/>
  <c r="AW4" i="4"/>
  <c r="AH4" i="4"/>
  <c r="V4" i="4"/>
  <c r="M4" i="4"/>
  <c r="J4" i="4"/>
  <c r="G4" i="4"/>
  <c r="BB3" i="4"/>
  <c r="BC3" i="4" s="1"/>
  <c r="BA3" i="4"/>
  <c r="BA34" i="4" s="1"/>
  <c r="AT3" i="4"/>
  <c r="AQ3" i="4"/>
  <c r="AN3" i="4"/>
  <c r="M3" i="4"/>
  <c r="J3" i="4"/>
  <c r="G3" i="4"/>
  <c r="D3" i="4"/>
  <c r="BB34" i="4" l="1"/>
  <c r="BC34" i="4" s="1"/>
  <c r="AY35" i="3"/>
  <c r="AZ35" i="3" s="1"/>
  <c r="AX35" i="3"/>
  <c r="AV35" i="3"/>
  <c r="AW35" i="3" s="1"/>
  <c r="AU35" i="3"/>
  <c r="AS35" i="3"/>
  <c r="AT35" i="3" s="1"/>
  <c r="AR35" i="3"/>
  <c r="AP35" i="3"/>
  <c r="AQ35" i="3" s="1"/>
  <c r="AO35" i="3"/>
  <c r="AM35" i="3"/>
  <c r="AN35" i="3" s="1"/>
  <c r="AL35" i="3"/>
  <c r="AJ35" i="3"/>
  <c r="AK35" i="3" s="1"/>
  <c r="AI35" i="3"/>
  <c r="AG35" i="3"/>
  <c r="AH35" i="3" s="1"/>
  <c r="AF35" i="3"/>
  <c r="AC35" i="3"/>
  <c r="AA35" i="3"/>
  <c r="AB35" i="3" s="1"/>
  <c r="Z35" i="3"/>
  <c r="X35" i="3"/>
  <c r="Y35" i="3" s="1"/>
  <c r="W35" i="3"/>
  <c r="U35" i="3"/>
  <c r="V35" i="3" s="1"/>
  <c r="T35" i="3"/>
  <c r="S35" i="3"/>
  <c r="R35" i="3"/>
  <c r="Q35" i="3"/>
  <c r="O35" i="3"/>
  <c r="P35" i="3" s="1"/>
  <c r="N35" i="3"/>
  <c r="L35" i="3"/>
  <c r="M35" i="3" s="1"/>
  <c r="K35" i="3"/>
  <c r="I35" i="3"/>
  <c r="J35" i="3" s="1"/>
  <c r="H35" i="3"/>
  <c r="G35" i="3"/>
  <c r="F35" i="3"/>
  <c r="E35" i="3"/>
  <c r="C35" i="3"/>
  <c r="D35" i="3" s="1"/>
  <c r="B35" i="3"/>
  <c r="BB33" i="3"/>
  <c r="BC33" i="3" s="1"/>
  <c r="BA33" i="3"/>
  <c r="S33" i="3"/>
  <c r="P33" i="3"/>
  <c r="M33" i="3"/>
  <c r="J33" i="3"/>
  <c r="G33" i="3"/>
  <c r="BB32" i="3"/>
  <c r="BC32" i="3" s="1"/>
  <c r="BA32" i="3"/>
  <c r="V32" i="3"/>
  <c r="P32" i="3"/>
  <c r="M32" i="3"/>
  <c r="J32" i="3"/>
  <c r="G32" i="3"/>
  <c r="BB31" i="3"/>
  <c r="BC31" i="3" s="1"/>
  <c r="BA31" i="3"/>
  <c r="AB31" i="3"/>
  <c r="V31" i="3"/>
  <c r="P31" i="3"/>
  <c r="M31" i="3"/>
  <c r="J31" i="3"/>
  <c r="G31" i="3"/>
  <c r="BB30" i="3"/>
  <c r="BC30" i="3" s="1"/>
  <c r="BA30" i="3"/>
  <c r="M30" i="3"/>
  <c r="J30" i="3"/>
  <c r="G30" i="3"/>
  <c r="D30" i="3"/>
  <c r="BB29" i="3"/>
  <c r="BC29" i="3" s="1"/>
  <c r="BA29" i="3"/>
  <c r="AW29" i="3"/>
  <c r="AH29" i="3"/>
  <c r="V29" i="3"/>
  <c r="P29" i="3"/>
  <c r="M29" i="3"/>
  <c r="J29" i="3"/>
  <c r="G29" i="3"/>
  <c r="BC28" i="3"/>
  <c r="BB28" i="3"/>
  <c r="BA28" i="3"/>
  <c r="AZ28" i="3"/>
  <c r="AW28" i="3"/>
  <c r="AT28" i="3"/>
  <c r="AQ28" i="3"/>
  <c r="V28" i="3"/>
  <c r="S28" i="3"/>
  <c r="P28" i="3"/>
  <c r="M28" i="3"/>
  <c r="J28" i="3"/>
  <c r="G28" i="3"/>
  <c r="D28" i="3"/>
  <c r="BB27" i="3"/>
  <c r="BC27" i="3" s="1"/>
  <c r="BA27" i="3"/>
  <c r="S27" i="3"/>
  <c r="G27" i="3"/>
  <c r="BB26" i="3"/>
  <c r="BC26" i="3" s="1"/>
  <c r="BA26" i="3"/>
  <c r="AK26" i="3"/>
  <c r="AH26" i="3"/>
  <c r="AB26" i="3"/>
  <c r="Y26" i="3"/>
  <c r="V26" i="3"/>
  <c r="P26" i="3"/>
  <c r="M26" i="3"/>
  <c r="J26" i="3"/>
  <c r="G26" i="3"/>
  <c r="BB25" i="3"/>
  <c r="BC25" i="3" s="1"/>
  <c r="BA25" i="3"/>
  <c r="AK25" i="3"/>
  <c r="P25" i="3"/>
  <c r="M25" i="3"/>
  <c r="J25" i="3"/>
  <c r="BB24" i="3"/>
  <c r="BC24" i="3" s="1"/>
  <c r="BA24" i="3"/>
  <c r="AW24" i="3"/>
  <c r="M24" i="3"/>
  <c r="J24" i="3"/>
  <c r="D24" i="3"/>
  <c r="BB23" i="3"/>
  <c r="BC23" i="3" s="1"/>
  <c r="BA23" i="3"/>
  <c r="V23" i="3"/>
  <c r="P23" i="3"/>
  <c r="M23" i="3"/>
  <c r="J23" i="3"/>
  <c r="G23" i="3"/>
  <c r="BB22" i="3"/>
  <c r="BC22" i="3" s="1"/>
  <c r="BA22" i="3"/>
  <c r="S22" i="3"/>
  <c r="P22" i="3"/>
  <c r="M22" i="3"/>
  <c r="J22" i="3"/>
  <c r="G22" i="3"/>
  <c r="D22" i="3"/>
  <c r="BB21" i="3"/>
  <c r="BC21" i="3" s="1"/>
  <c r="BA21" i="3"/>
  <c r="V21" i="3"/>
  <c r="P21" i="3"/>
  <c r="M21" i="3"/>
  <c r="J21" i="3"/>
  <c r="G21" i="3"/>
  <c r="D21" i="3"/>
  <c r="BB20" i="3"/>
  <c r="BC20" i="3" s="1"/>
  <c r="BA20" i="3"/>
  <c r="AN20" i="3"/>
  <c r="V20" i="3"/>
  <c r="P20" i="3"/>
  <c r="M20" i="3"/>
  <c r="J20" i="3"/>
  <c r="G20" i="3"/>
  <c r="D20" i="3"/>
  <c r="BB19" i="3"/>
  <c r="BC19" i="3" s="1"/>
  <c r="BA19" i="3"/>
  <c r="P19" i="3"/>
  <c r="M19" i="3"/>
  <c r="J19" i="3"/>
  <c r="G19" i="3"/>
  <c r="BB18" i="3"/>
  <c r="BC18" i="3" s="1"/>
  <c r="BA18" i="3"/>
  <c r="AW18" i="3"/>
  <c r="P18" i="3"/>
  <c r="M18" i="3"/>
  <c r="J18" i="3"/>
  <c r="G18" i="3"/>
  <c r="BC17" i="3"/>
  <c r="BB17" i="3"/>
  <c r="BA17" i="3"/>
  <c r="V17" i="3"/>
  <c r="P17" i="3"/>
  <c r="M17" i="3"/>
  <c r="J17" i="3"/>
  <c r="G17" i="3"/>
  <c r="BB16" i="3"/>
  <c r="BC16" i="3" s="1"/>
  <c r="BA16" i="3"/>
  <c r="AZ16" i="3"/>
  <c r="AW16" i="3"/>
  <c r="AT16" i="3"/>
  <c r="AQ16" i="3"/>
  <c r="AN16" i="3"/>
  <c r="S16" i="3"/>
  <c r="P16" i="3"/>
  <c r="M16" i="3"/>
  <c r="J16" i="3"/>
  <c r="G16" i="3"/>
  <c r="D16" i="3"/>
  <c r="BB15" i="3"/>
  <c r="BC15" i="3" s="1"/>
  <c r="BA15" i="3"/>
  <c r="AZ15" i="3"/>
  <c r="AW15" i="3"/>
  <c r="AT15" i="3"/>
  <c r="AQ15" i="3"/>
  <c r="AN15" i="3"/>
  <c r="V15" i="3"/>
  <c r="S15" i="3"/>
  <c r="P15" i="3"/>
  <c r="M15" i="3"/>
  <c r="J15" i="3"/>
  <c r="G15" i="3"/>
  <c r="D15" i="3"/>
  <c r="BB14" i="3"/>
  <c r="BA14" i="3"/>
  <c r="BB13" i="3"/>
  <c r="BC13" i="3" s="1"/>
  <c r="BA13" i="3"/>
  <c r="AZ13" i="3"/>
  <c r="P13" i="3"/>
  <c r="M13" i="3"/>
  <c r="J13" i="3"/>
  <c r="G13" i="3"/>
  <c r="BB12" i="3"/>
  <c r="BC12" i="3" s="1"/>
  <c r="BA12" i="3"/>
  <c r="Y12" i="3"/>
  <c r="V12" i="3"/>
  <c r="P12" i="3"/>
  <c r="M12" i="3"/>
  <c r="J12" i="3"/>
  <c r="G12" i="3"/>
  <c r="BB11" i="3"/>
  <c r="BC11" i="3" s="1"/>
  <c r="BA11" i="3"/>
  <c r="AB11" i="3"/>
  <c r="V11" i="3"/>
  <c r="P11" i="3"/>
  <c r="M11" i="3"/>
  <c r="J11" i="3"/>
  <c r="G11" i="3"/>
  <c r="BB10" i="3"/>
  <c r="BC10" i="3" s="1"/>
  <c r="BA10" i="3"/>
  <c r="AK10" i="3"/>
  <c r="AH10" i="3"/>
  <c r="AB10" i="3"/>
  <c r="Y10" i="3"/>
  <c r="V10" i="3"/>
  <c r="P10" i="3"/>
  <c r="M10" i="3"/>
  <c r="J10" i="3"/>
  <c r="G10" i="3"/>
  <c r="BB9" i="3"/>
  <c r="BC9" i="3" s="1"/>
  <c r="BA9" i="3"/>
  <c r="AQ9" i="3"/>
  <c r="D9" i="3"/>
  <c r="BB8" i="3"/>
  <c r="BC8" i="3" s="1"/>
  <c r="BA8" i="3"/>
  <c r="V8" i="3"/>
  <c r="P8" i="3"/>
  <c r="M8" i="3"/>
  <c r="J8" i="3"/>
  <c r="G8" i="3"/>
  <c r="BB7" i="3"/>
  <c r="BC7" i="3" s="1"/>
  <c r="BA7" i="3"/>
  <c r="V7" i="3"/>
  <c r="P7" i="3"/>
  <c r="M7" i="3"/>
  <c r="J7" i="3"/>
  <c r="G7" i="3"/>
  <c r="BB6" i="3"/>
  <c r="BC6" i="3" s="1"/>
  <c r="BA6" i="3"/>
  <c r="V6" i="3"/>
  <c r="P6" i="3"/>
  <c r="M6" i="3"/>
  <c r="J6" i="3"/>
  <c r="G6" i="3"/>
  <c r="D6" i="3"/>
  <c r="BB5" i="3"/>
  <c r="BC5" i="3" s="1"/>
  <c r="BA5" i="3"/>
  <c r="P5" i="3"/>
  <c r="M5" i="3"/>
  <c r="J5" i="3"/>
  <c r="G5" i="3"/>
  <c r="BB4" i="3"/>
  <c r="BC4" i="3" s="1"/>
  <c r="BA4" i="3"/>
  <c r="AZ4" i="3"/>
  <c r="AW4" i="3"/>
  <c r="AH4" i="3"/>
  <c r="V4" i="3"/>
  <c r="M4" i="3"/>
  <c r="J4" i="3"/>
  <c r="G4" i="3"/>
  <c r="BB3" i="3"/>
  <c r="BC3" i="3" s="1"/>
  <c r="BA3" i="3"/>
  <c r="BA35" i="3" s="1"/>
  <c r="AT3" i="3"/>
  <c r="AQ3" i="3"/>
  <c r="AN3" i="3"/>
  <c r="M3" i="3"/>
  <c r="J3" i="3"/>
  <c r="G3" i="3"/>
  <c r="D3" i="3"/>
  <c r="BB35" i="3" l="1"/>
  <c r="BC35" i="3" s="1"/>
  <c r="AY34" i="2" l="1"/>
  <c r="AZ34" i="2" s="1"/>
  <c r="AX34" i="2"/>
  <c r="AV34" i="2"/>
  <c r="AW34" i="2" s="1"/>
  <c r="AU34" i="2"/>
  <c r="AS34" i="2"/>
  <c r="AT34" i="2" s="1"/>
  <c r="AR34" i="2"/>
  <c r="AP34" i="2"/>
  <c r="AQ34" i="2" s="1"/>
  <c r="AO34" i="2"/>
  <c r="AM34" i="2"/>
  <c r="AN34" i="2" s="1"/>
  <c r="AL34" i="2"/>
  <c r="AJ34" i="2"/>
  <c r="AK34" i="2" s="1"/>
  <c r="AI34" i="2"/>
  <c r="AG34" i="2"/>
  <c r="AH34" i="2" s="1"/>
  <c r="AF34" i="2"/>
  <c r="AD34" i="2"/>
  <c r="AE34" i="2" s="1"/>
  <c r="AC34" i="2"/>
  <c r="AA34" i="2"/>
  <c r="AB34" i="2" s="1"/>
  <c r="Z34" i="2"/>
  <c r="X34" i="2"/>
  <c r="Y34" i="2" s="1"/>
  <c r="W34" i="2"/>
  <c r="U34" i="2"/>
  <c r="V34" i="2" s="1"/>
  <c r="T34" i="2"/>
  <c r="R34" i="2"/>
  <c r="S34" i="2" s="1"/>
  <c r="Q34" i="2"/>
  <c r="O34" i="2"/>
  <c r="P34" i="2" s="1"/>
  <c r="N34" i="2"/>
  <c r="L34" i="2"/>
  <c r="M34" i="2" s="1"/>
  <c r="K34" i="2"/>
  <c r="I34" i="2"/>
  <c r="J34" i="2" s="1"/>
  <c r="H34" i="2"/>
  <c r="F34" i="2"/>
  <c r="G34" i="2" s="1"/>
  <c r="E34" i="2"/>
  <c r="C34" i="2"/>
  <c r="D34" i="2" s="1"/>
  <c r="B34" i="2"/>
  <c r="BB33" i="2"/>
  <c r="BB32" i="2"/>
  <c r="BC32" i="2" s="1"/>
  <c r="BA32" i="2"/>
  <c r="S32" i="2"/>
  <c r="P32" i="2"/>
  <c r="M32" i="2"/>
  <c r="J32" i="2"/>
  <c r="G32" i="2"/>
  <c r="BB31" i="2"/>
  <c r="BC31" i="2" s="1"/>
  <c r="BA31" i="2"/>
  <c r="AE31" i="2"/>
  <c r="V31" i="2"/>
  <c r="P31" i="2"/>
  <c r="M31" i="2"/>
  <c r="J31" i="2"/>
  <c r="G31" i="2"/>
  <c r="BB30" i="2"/>
  <c r="BC30" i="2" s="1"/>
  <c r="BA30" i="2"/>
  <c r="AE30" i="2"/>
  <c r="AB30" i="2"/>
  <c r="Y30" i="2"/>
  <c r="V30" i="2"/>
  <c r="P30" i="2"/>
  <c r="M30" i="2"/>
  <c r="J30" i="2"/>
  <c r="G30" i="2"/>
  <c r="BC29" i="2"/>
  <c r="BB29" i="2"/>
  <c r="BA29" i="2"/>
  <c r="M29" i="2"/>
  <c r="J29" i="2"/>
  <c r="G29" i="2"/>
  <c r="D29" i="2"/>
  <c r="BB28" i="2"/>
  <c r="BC28" i="2" s="1"/>
  <c r="BA28" i="2"/>
  <c r="AZ28" i="2"/>
  <c r="AW28" i="2"/>
  <c r="AT28" i="2"/>
  <c r="AQ28" i="2"/>
  <c r="V28" i="2"/>
  <c r="S28" i="2"/>
  <c r="P28" i="2"/>
  <c r="M28" i="2"/>
  <c r="J28" i="2"/>
  <c r="G28" i="2"/>
  <c r="D28" i="2"/>
  <c r="BB27" i="2"/>
  <c r="BC27" i="2" s="1"/>
  <c r="BA27" i="2"/>
  <c r="S27" i="2"/>
  <c r="M27" i="2"/>
  <c r="G27" i="2"/>
  <c r="BB26" i="2"/>
  <c r="BC26" i="2" s="1"/>
  <c r="BA26" i="2"/>
  <c r="AK26" i="2"/>
  <c r="AH26" i="2"/>
  <c r="AE26" i="2"/>
  <c r="AB26" i="2"/>
  <c r="Y26" i="2"/>
  <c r="V26" i="2"/>
  <c r="P26" i="2"/>
  <c r="M26" i="2"/>
  <c r="J26" i="2"/>
  <c r="G26" i="2"/>
  <c r="BB25" i="2"/>
  <c r="BC25" i="2" s="1"/>
  <c r="BA25" i="2"/>
  <c r="AK25" i="2"/>
  <c r="P25" i="2"/>
  <c r="J25" i="2"/>
  <c r="BB24" i="2"/>
  <c r="BC24" i="2" s="1"/>
  <c r="BA24" i="2"/>
  <c r="M24" i="2"/>
  <c r="J24" i="2"/>
  <c r="D24" i="2"/>
  <c r="BB23" i="2"/>
  <c r="BC23" i="2" s="1"/>
  <c r="BA23" i="2"/>
  <c r="V23" i="2"/>
  <c r="P23" i="2"/>
  <c r="M23" i="2"/>
  <c r="J23" i="2"/>
  <c r="G23" i="2"/>
  <c r="BC22" i="2"/>
  <c r="BB22" i="2"/>
  <c r="BA22" i="2"/>
  <c r="S22" i="2"/>
  <c r="P22" i="2"/>
  <c r="M22" i="2"/>
  <c r="J22" i="2"/>
  <c r="G22" i="2"/>
  <c r="D22" i="2"/>
  <c r="BB21" i="2"/>
  <c r="BC21" i="2" s="1"/>
  <c r="BA21" i="2"/>
  <c r="V21" i="2"/>
  <c r="P21" i="2"/>
  <c r="M21" i="2"/>
  <c r="J21" i="2"/>
  <c r="G21" i="2"/>
  <c r="D21" i="2"/>
  <c r="BB20" i="2"/>
  <c r="BC20" i="2" s="1"/>
  <c r="BA20" i="2"/>
  <c r="AN20" i="2"/>
  <c r="V20" i="2"/>
  <c r="P20" i="2"/>
  <c r="M20" i="2"/>
  <c r="J20" i="2"/>
  <c r="G20" i="2"/>
  <c r="D20" i="2"/>
  <c r="BB19" i="2"/>
  <c r="BC19" i="2" s="1"/>
  <c r="BA19" i="2"/>
  <c r="P19" i="2"/>
  <c r="M19" i="2"/>
  <c r="J19" i="2"/>
  <c r="G19" i="2"/>
  <c r="BB18" i="2"/>
  <c r="BC18" i="2" s="1"/>
  <c r="BA18" i="2"/>
  <c r="AW18" i="2"/>
  <c r="P18" i="2"/>
  <c r="M18" i="2"/>
  <c r="J18" i="2"/>
  <c r="G18" i="2"/>
  <c r="BB17" i="2"/>
  <c r="BC17" i="2" s="1"/>
  <c r="BA17" i="2"/>
  <c r="V17" i="2"/>
  <c r="P17" i="2"/>
  <c r="M17" i="2"/>
  <c r="J17" i="2"/>
  <c r="G17" i="2"/>
  <c r="BB16" i="2"/>
  <c r="BC16" i="2" s="1"/>
  <c r="BA16" i="2"/>
  <c r="AZ16" i="2"/>
  <c r="AW16" i="2"/>
  <c r="AT16" i="2"/>
  <c r="AQ16" i="2"/>
  <c r="AN16" i="2"/>
  <c r="S16" i="2"/>
  <c r="P16" i="2"/>
  <c r="M16" i="2"/>
  <c r="J16" i="2"/>
  <c r="G16" i="2"/>
  <c r="D16" i="2"/>
  <c r="BB15" i="2"/>
  <c r="BC15" i="2" s="1"/>
  <c r="BA15" i="2"/>
  <c r="AZ15" i="2"/>
  <c r="AW15" i="2"/>
  <c r="AT15" i="2"/>
  <c r="AQ15" i="2"/>
  <c r="AN15" i="2"/>
  <c r="V15" i="2"/>
  <c r="S15" i="2"/>
  <c r="P15" i="2"/>
  <c r="M15" i="2"/>
  <c r="J15" i="2"/>
  <c r="G15" i="2"/>
  <c r="D15" i="2"/>
  <c r="BB14" i="2"/>
  <c r="BA14" i="2"/>
  <c r="BB13" i="2"/>
  <c r="BC13" i="2" s="1"/>
  <c r="BA13" i="2"/>
  <c r="AZ13" i="2"/>
  <c r="P13" i="2"/>
  <c r="M13" i="2"/>
  <c r="J13" i="2"/>
  <c r="G13" i="2"/>
  <c r="BB12" i="2"/>
  <c r="BC12" i="2" s="1"/>
  <c r="BA12" i="2"/>
  <c r="Y12" i="2"/>
  <c r="V12" i="2"/>
  <c r="P12" i="2"/>
  <c r="M12" i="2"/>
  <c r="J12" i="2"/>
  <c r="G12" i="2"/>
  <c r="BB11" i="2"/>
  <c r="BC11" i="2" s="1"/>
  <c r="BA11" i="2"/>
  <c r="AE11" i="2"/>
  <c r="AB11" i="2"/>
  <c r="V11" i="2"/>
  <c r="P11" i="2"/>
  <c r="M11" i="2"/>
  <c r="J11" i="2"/>
  <c r="G11" i="2"/>
  <c r="BB10" i="2"/>
  <c r="BC10" i="2" s="1"/>
  <c r="BA10" i="2"/>
  <c r="AK10" i="2"/>
  <c r="AH10" i="2"/>
  <c r="AE10" i="2"/>
  <c r="AB10" i="2"/>
  <c r="Y10" i="2"/>
  <c r="V10" i="2"/>
  <c r="P10" i="2"/>
  <c r="M10" i="2"/>
  <c r="J10" i="2"/>
  <c r="G10" i="2"/>
  <c r="BB9" i="2"/>
  <c r="BC9" i="2" s="1"/>
  <c r="BA9" i="2"/>
  <c r="D9" i="2"/>
  <c r="BB8" i="2"/>
  <c r="BC8" i="2" s="1"/>
  <c r="BA8" i="2"/>
  <c r="V8" i="2"/>
  <c r="P8" i="2"/>
  <c r="M8" i="2"/>
  <c r="J8" i="2"/>
  <c r="G8" i="2"/>
  <c r="BB7" i="2"/>
  <c r="BC7" i="2" s="1"/>
  <c r="BA7" i="2"/>
  <c r="V7" i="2"/>
  <c r="P7" i="2"/>
  <c r="M7" i="2"/>
  <c r="J7" i="2"/>
  <c r="G7" i="2"/>
  <c r="BB6" i="2"/>
  <c r="BC6" i="2" s="1"/>
  <c r="BA6" i="2"/>
  <c r="V6" i="2"/>
  <c r="P6" i="2"/>
  <c r="M6" i="2"/>
  <c r="J6" i="2"/>
  <c r="G6" i="2"/>
  <c r="D6" i="2"/>
  <c r="BB5" i="2"/>
  <c r="BC5" i="2" s="1"/>
  <c r="BA5" i="2"/>
  <c r="P5" i="2"/>
  <c r="M5" i="2"/>
  <c r="J5" i="2"/>
  <c r="G5" i="2"/>
  <c r="BB4" i="2"/>
  <c r="BC4" i="2" s="1"/>
  <c r="BA4" i="2"/>
  <c r="AZ4" i="2"/>
  <c r="AW4" i="2"/>
  <c r="AH4" i="2"/>
  <c r="V4" i="2"/>
  <c r="P4" i="2"/>
  <c r="M4" i="2"/>
  <c r="J4" i="2"/>
  <c r="G4" i="2"/>
  <c r="D4" i="2"/>
  <c r="BB3" i="2"/>
  <c r="BC3" i="2" s="1"/>
  <c r="BA3" i="2"/>
  <c r="BA34" i="2" s="1"/>
  <c r="AW3" i="2"/>
  <c r="AT3" i="2"/>
  <c r="AQ3" i="2"/>
  <c r="AN3" i="2"/>
  <c r="M3" i="2"/>
  <c r="J3" i="2"/>
  <c r="G3" i="2"/>
  <c r="D3" i="2"/>
  <c r="AY34" i="1"/>
  <c r="AZ34" i="1" s="1"/>
  <c r="AX34" i="1"/>
  <c r="AV34" i="1"/>
  <c r="AW34" i="1" s="1"/>
  <c r="AU34" i="1"/>
  <c r="AS34" i="1"/>
  <c r="AT34" i="1" s="1"/>
  <c r="AR34" i="1"/>
  <c r="AP34" i="1"/>
  <c r="AQ34" i="1" s="1"/>
  <c r="AO34" i="1"/>
  <c r="AM34" i="1"/>
  <c r="AN34" i="1" s="1"/>
  <c r="AL34" i="1"/>
  <c r="AJ34" i="1"/>
  <c r="AK34" i="1" s="1"/>
  <c r="AI34" i="1"/>
  <c r="AG34" i="1"/>
  <c r="AH34" i="1" s="1"/>
  <c r="AF34" i="1"/>
  <c r="AD34" i="1"/>
  <c r="AE34" i="1" s="1"/>
  <c r="AC34" i="1"/>
  <c r="AA34" i="1"/>
  <c r="AB34" i="1" s="1"/>
  <c r="Z34" i="1"/>
  <c r="X34" i="1"/>
  <c r="Y34" i="1" s="1"/>
  <c r="W34" i="1"/>
  <c r="U34" i="1"/>
  <c r="V34" i="1" s="1"/>
  <c r="T34" i="1"/>
  <c r="R34" i="1"/>
  <c r="S34" i="1" s="1"/>
  <c r="Q34" i="1"/>
  <c r="O34" i="1"/>
  <c r="P34" i="1" s="1"/>
  <c r="N34" i="1"/>
  <c r="L34" i="1"/>
  <c r="M34" i="1" s="1"/>
  <c r="K34" i="1"/>
  <c r="I34" i="1"/>
  <c r="J34" i="1" s="1"/>
  <c r="H34" i="1"/>
  <c r="F34" i="1"/>
  <c r="G34" i="1" s="1"/>
  <c r="E34" i="1"/>
  <c r="C34" i="1"/>
  <c r="D34" i="1" s="1"/>
  <c r="B34" i="1"/>
  <c r="BB32" i="1"/>
  <c r="BC32" i="1" s="1"/>
  <c r="BA32" i="1"/>
  <c r="S32" i="1"/>
  <c r="P32" i="1"/>
  <c r="M32" i="1"/>
  <c r="J32" i="1"/>
  <c r="G32" i="1"/>
  <c r="BB31" i="1"/>
  <c r="BC31" i="1" s="1"/>
  <c r="BA31" i="1"/>
  <c r="AE31" i="1"/>
  <c r="V31" i="1"/>
  <c r="P31" i="1"/>
  <c r="M31" i="1"/>
  <c r="J31" i="1"/>
  <c r="G31" i="1"/>
  <c r="BC30" i="1"/>
  <c r="BB30" i="1"/>
  <c r="BA30" i="1"/>
  <c r="AE30" i="1"/>
  <c r="AB30" i="1"/>
  <c r="Y30" i="1"/>
  <c r="V30" i="1"/>
  <c r="P30" i="1"/>
  <c r="M30" i="1"/>
  <c r="J30" i="1"/>
  <c r="G30" i="1"/>
  <c r="BB29" i="1"/>
  <c r="BC29" i="1" s="1"/>
  <c r="BA29" i="1"/>
  <c r="M29" i="1"/>
  <c r="J29" i="1"/>
  <c r="G29" i="1"/>
  <c r="D29" i="1"/>
  <c r="BB28" i="1"/>
  <c r="BC28" i="1" s="1"/>
  <c r="BA28" i="1"/>
  <c r="AZ28" i="1"/>
  <c r="AW28" i="1"/>
  <c r="AT28" i="1"/>
  <c r="AQ28" i="1"/>
  <c r="V28" i="1"/>
  <c r="S28" i="1"/>
  <c r="P28" i="1"/>
  <c r="M28" i="1"/>
  <c r="J28" i="1"/>
  <c r="G28" i="1"/>
  <c r="D28" i="1"/>
  <c r="BB27" i="1"/>
  <c r="BC27" i="1" s="1"/>
  <c r="BA27" i="1"/>
  <c r="S27" i="1"/>
  <c r="M27" i="1"/>
  <c r="G27" i="1"/>
  <c r="BB26" i="1"/>
  <c r="BC26" i="1" s="1"/>
  <c r="BA26" i="1"/>
  <c r="AK26" i="1"/>
  <c r="AH26" i="1"/>
  <c r="AE26" i="1"/>
  <c r="AB26" i="1"/>
  <c r="Y26" i="1"/>
  <c r="V26" i="1"/>
  <c r="P26" i="1"/>
  <c r="M26" i="1"/>
  <c r="J26" i="1"/>
  <c r="G26" i="1"/>
  <c r="BB25" i="1"/>
  <c r="BC25" i="1" s="1"/>
  <c r="BA25" i="1"/>
  <c r="AK25" i="1"/>
  <c r="P25" i="1"/>
  <c r="J25" i="1"/>
  <c r="BC24" i="1"/>
  <c r="BA24" i="1"/>
  <c r="AW24" i="1"/>
  <c r="M24" i="1"/>
  <c r="J24" i="1"/>
  <c r="D24" i="1"/>
  <c r="BB23" i="1"/>
  <c r="BC23" i="1" s="1"/>
  <c r="BA23" i="1"/>
  <c r="V23" i="1"/>
  <c r="P23" i="1"/>
  <c r="M23" i="1"/>
  <c r="J23" i="1"/>
  <c r="G23" i="1"/>
  <c r="BC22" i="1"/>
  <c r="BB22" i="1"/>
  <c r="BA22" i="1"/>
  <c r="S22" i="1"/>
  <c r="P22" i="1"/>
  <c r="M22" i="1"/>
  <c r="J22" i="1"/>
  <c r="G22" i="1"/>
  <c r="D22" i="1"/>
  <c r="BB21" i="1"/>
  <c r="BC21" i="1" s="1"/>
  <c r="BA21" i="1"/>
  <c r="P21" i="1"/>
  <c r="M21" i="1"/>
  <c r="J21" i="1"/>
  <c r="G21" i="1"/>
  <c r="D21" i="1"/>
  <c r="BB20" i="1"/>
  <c r="BC20" i="1" s="1"/>
  <c r="BA20" i="1"/>
  <c r="AN20" i="1"/>
  <c r="V20" i="1"/>
  <c r="P20" i="1"/>
  <c r="M20" i="1"/>
  <c r="J20" i="1"/>
  <c r="G20" i="1"/>
  <c r="D20" i="1"/>
  <c r="BB19" i="1"/>
  <c r="BC19" i="1" s="1"/>
  <c r="BA19" i="1"/>
  <c r="P19" i="1"/>
  <c r="M19" i="1"/>
  <c r="J19" i="1"/>
  <c r="G19" i="1"/>
  <c r="BB18" i="1"/>
  <c r="BC18" i="1" s="1"/>
  <c r="BA18" i="1"/>
  <c r="AW18" i="1"/>
  <c r="P18" i="1"/>
  <c r="M18" i="1"/>
  <c r="J18" i="1"/>
  <c r="G18" i="1"/>
  <c r="BB17" i="1"/>
  <c r="BC17" i="1" s="1"/>
  <c r="BA17" i="1"/>
  <c r="V17" i="1"/>
  <c r="P17" i="1"/>
  <c r="M17" i="1"/>
  <c r="J17" i="1"/>
  <c r="G17" i="1"/>
  <c r="BB16" i="1"/>
  <c r="BC16" i="1" s="1"/>
  <c r="BA16" i="1"/>
  <c r="AZ16" i="1"/>
  <c r="AW16" i="1"/>
  <c r="AT16" i="1"/>
  <c r="AQ16" i="1"/>
  <c r="AN16" i="1"/>
  <c r="S16" i="1"/>
  <c r="P16" i="1"/>
  <c r="M16" i="1"/>
  <c r="J16" i="1"/>
  <c r="G16" i="1"/>
  <c r="D16" i="1"/>
  <c r="BB15" i="1"/>
  <c r="BC15" i="1" s="1"/>
  <c r="BA15" i="1"/>
  <c r="AZ15" i="1"/>
  <c r="AW15" i="1"/>
  <c r="AT15" i="1"/>
  <c r="AQ15" i="1"/>
  <c r="AN15" i="1"/>
  <c r="V15" i="1"/>
  <c r="S15" i="1"/>
  <c r="P15" i="1"/>
  <c r="M15" i="1"/>
  <c r="J15" i="1"/>
  <c r="G15" i="1"/>
  <c r="D15" i="1"/>
  <c r="BB14" i="1"/>
  <c r="BA14" i="1"/>
  <c r="BB13" i="1"/>
  <c r="BC13" i="1" s="1"/>
  <c r="BA13" i="1"/>
  <c r="AZ13" i="1"/>
  <c r="P13" i="1"/>
  <c r="M13" i="1"/>
  <c r="J13" i="1"/>
  <c r="G13" i="1"/>
  <c r="BB12" i="1"/>
  <c r="BC12" i="1" s="1"/>
  <c r="BA12" i="1"/>
  <c r="Y12" i="1"/>
  <c r="V12" i="1"/>
  <c r="P12" i="1"/>
  <c r="M12" i="1"/>
  <c r="J12" i="1"/>
  <c r="G12" i="1"/>
  <c r="BB11" i="1"/>
  <c r="BC11" i="1" s="1"/>
  <c r="BA11" i="1"/>
  <c r="AE11" i="1"/>
  <c r="AB11" i="1"/>
  <c r="V11" i="1"/>
  <c r="P11" i="1"/>
  <c r="M11" i="1"/>
  <c r="J11" i="1"/>
  <c r="G11" i="1"/>
  <c r="BC10" i="1"/>
  <c r="BB10" i="1"/>
  <c r="BA10" i="1"/>
  <c r="AK10" i="1"/>
  <c r="AH10" i="1"/>
  <c r="AE10" i="1"/>
  <c r="AB10" i="1"/>
  <c r="Y10" i="1"/>
  <c r="V10" i="1"/>
  <c r="P10" i="1"/>
  <c r="M10" i="1"/>
  <c r="J10" i="1"/>
  <c r="G10" i="1"/>
  <c r="BB9" i="1"/>
  <c r="BC9" i="1" s="1"/>
  <c r="BA9" i="1"/>
  <c r="D9" i="1"/>
  <c r="BB8" i="1"/>
  <c r="BC8" i="1" s="1"/>
  <c r="BA8" i="1"/>
  <c r="V8" i="1"/>
  <c r="P8" i="1"/>
  <c r="M8" i="1"/>
  <c r="J8" i="1"/>
  <c r="G8" i="1"/>
  <c r="BB7" i="1"/>
  <c r="BC7" i="1" s="1"/>
  <c r="BA7" i="1"/>
  <c r="V7" i="1"/>
  <c r="P7" i="1"/>
  <c r="M7" i="1"/>
  <c r="J7" i="1"/>
  <c r="G7" i="1"/>
  <c r="BB6" i="1"/>
  <c r="BC6" i="1" s="1"/>
  <c r="BA6" i="1"/>
  <c r="V6" i="1"/>
  <c r="P6" i="1"/>
  <c r="M6" i="1"/>
  <c r="J6" i="1"/>
  <c r="G6" i="1"/>
  <c r="D6" i="1"/>
  <c r="BB5" i="1"/>
  <c r="BB34" i="1" s="1"/>
  <c r="BA5" i="1"/>
  <c r="M5" i="1"/>
  <c r="J5" i="1"/>
  <c r="G5" i="1"/>
  <c r="BC4" i="1"/>
  <c r="BB4" i="1"/>
  <c r="BA4" i="1"/>
  <c r="AZ4" i="1"/>
  <c r="AW4" i="1"/>
  <c r="AH4" i="1"/>
  <c r="V4" i="1"/>
  <c r="P4" i="1"/>
  <c r="M4" i="1"/>
  <c r="J4" i="1"/>
  <c r="G4" i="1"/>
  <c r="D4" i="1"/>
  <c r="BB3" i="1"/>
  <c r="AN3" i="1"/>
  <c r="M3" i="1"/>
  <c r="J3" i="1"/>
  <c r="G3" i="1"/>
  <c r="D3" i="1"/>
  <c r="BB34" i="2" l="1"/>
  <c r="BC34" i="2" s="1"/>
  <c r="BC5" i="1"/>
  <c r="BC3" i="1"/>
  <c r="BA34" i="1"/>
  <c r="BC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4D6F298B-F0E6-4EA3-807B-9072DD8C93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I3" authorId="0" shapeId="0" xr:uid="{A1DFA5E0-7460-46B7-9E2B-C4D9F98B12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F8" authorId="0" shapeId="0" xr:uid="{20D7C14C-29AB-46E7-85BB-CB466434A8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taken</t>
        </r>
      </text>
    </comment>
    <comment ref="I8" authorId="0" shapeId="0" xr:uid="{3AC18FEA-E688-4559-B071-020B96020B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taken</t>
        </r>
      </text>
    </comment>
    <comment ref="O8" authorId="0" shapeId="0" xr:uid="{DB535925-BC17-451E-B891-76B55384E6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taken</t>
        </r>
      </text>
    </comment>
    <comment ref="X8" authorId="0" shapeId="0" xr:uid="{D0553C9B-B642-4F3D-A8CD-CB6673F09A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taken</t>
        </r>
      </text>
    </comment>
    <comment ref="AA8" authorId="0" shapeId="0" xr:uid="{2818EF83-CEEE-4E43-A3D0-7F92D07550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taken</t>
        </r>
      </text>
    </comment>
    <comment ref="A9" authorId="0" shapeId="0" xr:uid="{CE9E7E37-7C14-4D95-A9EE-C71CB61C8D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A13" authorId="0" shapeId="0" xr:uid="{9A0A0887-F8B5-4970-91EF-1E8CB06702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F13" authorId="0" shapeId="0" xr:uid="{86644C7D-A419-4482-B092-63A81DC0A7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DASD</t>
        </r>
      </text>
    </comment>
    <comment ref="F14" authorId="0" shapeId="0" xr:uid="{C066A80E-DF65-4903-8153-AC7044C2DE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E15" authorId="0" shapeId="0" xr:uid="{1A24516B-0989-4437-904F-528CC37B5B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informed over phone</t>
        </r>
      </text>
    </comment>
    <comment ref="L15" authorId="0" shapeId="0" xr:uid="{7B0405B3-285B-4DF6-B800-4D528739C7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informed over phone-State data</t>
        </r>
      </text>
    </comment>
    <comment ref="F18" authorId="0" shapeId="0" xr:uid="{CDCE77C5-375D-41EA-845B-C174BDF715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A21" authorId="0" shapeId="0" xr:uid="{AC7BE244-BA27-4C59-81D3-79000C6EA0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F21" authorId="0" shapeId="0" xr:uid="{82630844-59D8-43DB-BA51-384239EB13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DASD data</t>
        </r>
      </text>
    </comment>
    <comment ref="L21" authorId="0" shapeId="0" xr:uid="{D3E0A1F4-0A74-4B18-BBEC-AA82E171D9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DASD data</t>
        </r>
      </text>
    </comment>
    <comment ref="O23" authorId="0" shapeId="0" xr:uid="{D6CD9515-BA57-4DF8-B5DB-E055E85948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I26" authorId="0" shapeId="0" xr:uid="{CC53A8A6-873D-4D41-9A96-5305D69B35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A28" authorId="0" shapeId="0" xr:uid="{C184B890-C17F-429C-B5A9-94180E9043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  <comment ref="A29" authorId="0" shapeId="0" xr:uid="{E9B0CE8F-B3DC-48D1-9286-CFC9F9DE92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 </t>
        </r>
      </text>
    </comment>
    <comment ref="A30" authorId="0" shapeId="0" xr:uid="{0896C088-53BC-4C7D-8E66-002C26054D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State data</t>
        </r>
      </text>
    </comment>
  </commentList>
</comments>
</file>

<file path=xl/sharedStrings.xml><?xml version="1.0" encoding="utf-8"?>
<sst xmlns="http://schemas.openxmlformats.org/spreadsheetml/2006/main" count="1066" uniqueCount="86">
  <si>
    <t xml:space="preserve">STATES/Uts </t>
  </si>
  <si>
    <t>Pepper</t>
  </si>
  <si>
    <t>Ginger</t>
  </si>
  <si>
    <t>Chillies</t>
  </si>
  <si>
    <t>Turmeric</t>
  </si>
  <si>
    <t>Garlic</t>
  </si>
  <si>
    <t>Cardamom</t>
  </si>
  <si>
    <t>Coriander</t>
  </si>
  <si>
    <t>Cumin</t>
  </si>
  <si>
    <t>Fennel</t>
  </si>
  <si>
    <t>F. Greek</t>
  </si>
  <si>
    <t>Ajwan</t>
  </si>
  <si>
    <t xml:space="preserve">Dill / Poppy /Celery </t>
  </si>
  <si>
    <t>Cinnamon /Tejpat</t>
  </si>
  <si>
    <t>Nutmeg</t>
  </si>
  <si>
    <t>Clove</t>
  </si>
  <si>
    <t>Tamarind</t>
  </si>
  <si>
    <t>Saffron / Vanilla</t>
  </si>
  <si>
    <t>Total</t>
  </si>
  <si>
    <t>A</t>
  </si>
  <si>
    <t>P</t>
  </si>
  <si>
    <t>Prod.</t>
  </si>
  <si>
    <t>ANDAMAN NICOBAR</t>
  </si>
  <si>
    <t>ANDHRA PRADESH</t>
  </si>
  <si>
    <t>ARUNACHAL PRADESH</t>
  </si>
  <si>
    <t>ASSAM</t>
  </si>
  <si>
    <t>BIHAR</t>
  </si>
  <si>
    <t>CHHATISHGARH</t>
  </si>
  <si>
    <t>GOA</t>
  </si>
  <si>
    <t>GUJARAT</t>
  </si>
  <si>
    <t>HARYANA</t>
  </si>
  <si>
    <t>HIMACHAL PRADESH</t>
  </si>
  <si>
    <t>JAMMU &amp; KASHMIR</t>
  </si>
  <si>
    <t>JHARKHAND</t>
  </si>
  <si>
    <t xml:space="preserve">KARNATAKA 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</si>
  <si>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</si>
  <si>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</si>
  <si>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</si>
  <si>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</si>
  <si>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</si>
  <si>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</si>
  <si>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</si>
  <si>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</si>
  <si>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</si>
  <si>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</si>
  <si>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</si>
  <si>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</si>
  <si>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</si>
  <si>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</si>
  <si>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</si>
  <si>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</si>
  <si>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</si>
  <si>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TOTAL</t>
  </si>
  <si>
    <t>CHHATTISGARH</t>
  </si>
  <si>
    <t xml:space="preserve">STATES/UTs </t>
  </si>
  <si>
    <t>Fenugreek</t>
  </si>
  <si>
    <t>TELANGANA</t>
  </si>
  <si>
    <t>Prpd.</t>
  </si>
  <si>
    <t>PEPPER</t>
  </si>
  <si>
    <t>GINGER</t>
  </si>
  <si>
    <t>CHILLIES</t>
  </si>
  <si>
    <t>TURMERIC</t>
  </si>
  <si>
    <t>GARLIC</t>
  </si>
  <si>
    <t>CARDAMOM</t>
  </si>
  <si>
    <t>CORIANDER</t>
  </si>
  <si>
    <t>CUMIN</t>
  </si>
  <si>
    <t>FENNEL</t>
  </si>
  <si>
    <t>FENUGREEK</t>
  </si>
  <si>
    <t>AJWAN</t>
  </si>
  <si>
    <t>DILL/POPPY/CELERY</t>
  </si>
  <si>
    <t>CINNAMON              /TEJPATA</t>
  </si>
  <si>
    <t>NUTMEG</t>
  </si>
  <si>
    <t>CLOVE</t>
  </si>
  <si>
    <t>TAMARIND</t>
  </si>
  <si>
    <t>SAFFRON                /VANILLA</t>
  </si>
  <si>
    <t>OTHERS</t>
  </si>
  <si>
    <t>MINT (MENTHA)</t>
  </si>
  <si>
    <t>DILL/POPPY/           CELERY</t>
  </si>
  <si>
    <t>SAFFRON</t>
  </si>
  <si>
    <t>VANILLA</t>
  </si>
  <si>
    <t>MINT                        (MENTHA)*</t>
  </si>
  <si>
    <t xml:space="preserve">SAFFRON/           </t>
  </si>
  <si>
    <t xml:space="preserve">    VANILLA</t>
  </si>
  <si>
    <t>Sl. No.</t>
  </si>
  <si>
    <t>BLACK PEPPER</t>
  </si>
  <si>
    <t>RED CHILLIES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</si>
</sst>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_(* #,##0.00_);_(* \(#,##0.00\);_(* &quot;-&quot;??_);_(@_)"/>
    <numFmt numFmtId="166" formatCode="0.00000"/>
    <numFmt numFmtId="167" formatCode="0.000000"/>
    <numFmt numFmtId="168" formatCode="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</cellStyleXfs>
  <cellXfs count="253">
    <xf numFmtId="0" fontId="0" fillId="0" borderId="0" xfId="0"/>
    <xf numFmtId="2" fontId="3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justify"/>
    </xf>
    <xf numFmtId="0" fontId="0" fillId="0" borderId="2" xfId="0" applyBorder="1"/>
    <xf numFmtId="2" fontId="3" fillId="2" borderId="1" xfId="1" applyNumberFormat="1" applyFont="1" applyFill="1" applyBorder="1" applyAlignment="1">
      <alignment horizontal="center"/>
    </xf>
    <xf numFmtId="2" fontId="3" fillId="2" borderId="1" xfId="1" applyNumberFormat="1" applyFont="1" applyFill="1" applyBorder="1"/>
    <xf numFmtId="164" fontId="0" fillId="2" borderId="1" xfId="0" applyNumberFormat="1" applyFill="1" applyBorder="1"/>
    <xf numFmtId="164" fontId="6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0" fillId="2" borderId="0" xfId="0" applyNumberFormat="1" applyFill="1"/>
    <xf numFmtId="2" fontId="3" fillId="2" borderId="1" xfId="2" applyNumberFormat="1" applyFont="1" applyFill="1" applyBorder="1"/>
    <xf numFmtId="2" fontId="3" fillId="2" borderId="1" xfId="3" applyNumberFormat="1" applyFont="1" applyFill="1" applyBorder="1"/>
    <xf numFmtId="164" fontId="7" fillId="2" borderId="1" xfId="0" applyNumberFormat="1" applyFont="1" applyFill="1" applyBorder="1"/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justify"/>
    </xf>
    <xf numFmtId="2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/>
    <xf numFmtId="2" fontId="0" fillId="3" borderId="1" xfId="0" applyNumberFormat="1" applyFill="1" applyBorder="1"/>
    <xf numFmtId="2" fontId="6" fillId="3" borderId="1" xfId="0" applyNumberFormat="1" applyFont="1" applyFill="1" applyBorder="1" applyAlignment="1">
      <alignment horizontal="right"/>
    </xf>
    <xf numFmtId="2" fontId="0" fillId="3" borderId="0" xfId="0" applyNumberFormat="1" applyFill="1"/>
    <xf numFmtId="2" fontId="3" fillId="3" borderId="1" xfId="2" applyNumberFormat="1" applyFont="1" applyFill="1" applyBorder="1"/>
    <xf numFmtId="2" fontId="3" fillId="3" borderId="1" xfId="3" applyNumberFormat="1" applyFont="1" applyFill="1" applyBorder="1"/>
    <xf numFmtId="2" fontId="0" fillId="3" borderId="4" xfId="0" applyNumberFormat="1" applyFill="1" applyBorder="1"/>
    <xf numFmtId="2" fontId="7" fillId="3" borderId="1" xfId="0" applyNumberFormat="1" applyFont="1" applyFill="1" applyBorder="1"/>
    <xf numFmtId="2" fontId="2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 vertical="justify"/>
    </xf>
    <xf numFmtId="164" fontId="8" fillId="3" borderId="1" xfId="1" applyNumberFormat="1" applyFont="1" applyFill="1" applyBorder="1" applyAlignment="1">
      <alignment horizontal="center"/>
    </xf>
    <xf numFmtId="164" fontId="8" fillId="3" borderId="1" xfId="1" applyNumberFormat="1" applyFont="1" applyFill="1" applyBorder="1"/>
    <xf numFmtId="2" fontId="10" fillId="3" borderId="1" xfId="0" applyNumberFormat="1" applyFont="1" applyFill="1" applyBorder="1"/>
    <xf numFmtId="2" fontId="9" fillId="3" borderId="1" xfId="0" applyNumberFormat="1" applyFont="1" applyFill="1" applyBorder="1" applyAlignment="1">
      <alignment horizontal="right"/>
    </xf>
    <xf numFmtId="2" fontId="10" fillId="3" borderId="0" xfId="0" applyNumberFormat="1" applyFont="1" applyFill="1"/>
    <xf numFmtId="164" fontId="8" fillId="3" borderId="1" xfId="2" applyNumberFormat="1" applyFont="1" applyFill="1" applyBorder="1"/>
    <xf numFmtId="2" fontId="10" fillId="3" borderId="1" xfId="0" applyNumberFormat="1" applyFont="1" applyFill="1" applyBorder="1" applyAlignment="1">
      <alignment horizontal="right"/>
    </xf>
    <xf numFmtId="164" fontId="8" fillId="3" borderId="1" xfId="3" applyNumberFormat="1" applyFont="1" applyFill="1" applyBorder="1"/>
    <xf numFmtId="2" fontId="8" fillId="3" borderId="1" xfId="0" applyNumberFormat="1" applyFont="1" applyFill="1" applyBorder="1"/>
    <xf numFmtId="2" fontId="11" fillId="3" borderId="1" xfId="0" applyNumberFormat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 vertical="justify"/>
    </xf>
    <xf numFmtId="2" fontId="11" fillId="3" borderId="1" xfId="1" applyNumberFormat="1" applyFont="1" applyFill="1" applyBorder="1" applyAlignment="1">
      <alignment horizontal="center"/>
    </xf>
    <xf numFmtId="2" fontId="11" fillId="3" borderId="1" xfId="1" applyNumberFormat="1" applyFont="1" applyFill="1" applyBorder="1"/>
    <xf numFmtId="2" fontId="13" fillId="3" borderId="1" xfId="0" applyNumberFormat="1" applyFont="1" applyFill="1" applyBorder="1"/>
    <xf numFmtId="2" fontId="12" fillId="3" borderId="1" xfId="0" applyNumberFormat="1" applyFont="1" applyFill="1" applyBorder="1" applyAlignment="1">
      <alignment horizontal="right"/>
    </xf>
    <xf numFmtId="2" fontId="13" fillId="3" borderId="0" xfId="0" applyNumberFormat="1" applyFont="1" applyFill="1"/>
    <xf numFmtId="2" fontId="11" fillId="3" borderId="1" xfId="4" applyNumberFormat="1" applyFont="1" applyFill="1" applyBorder="1"/>
    <xf numFmtId="2" fontId="2" fillId="0" borderId="1" xfId="0" applyNumberFormat="1" applyFont="1" applyBorder="1"/>
    <xf numFmtId="2" fontId="13" fillId="3" borderId="1" xfId="0" applyNumberFormat="1" applyFont="1" applyFill="1" applyBorder="1" applyAlignment="1">
      <alignment horizontal="right"/>
    </xf>
    <xf numFmtId="2" fontId="11" fillId="3" borderId="1" xfId="3" applyNumberFormat="1" applyFont="1" applyFill="1" applyBorder="1"/>
    <xf numFmtId="2" fontId="11" fillId="3" borderId="1" xfId="0" applyNumberFormat="1" applyFont="1" applyFill="1" applyBorder="1"/>
    <xf numFmtId="2" fontId="12" fillId="0" borderId="5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 wrapText="1"/>
    </xf>
    <xf numFmtId="2" fontId="12" fillId="0" borderId="6" xfId="0" applyNumberFormat="1" applyFont="1" applyBorder="1" applyAlignment="1">
      <alignment horizontal="center" wrapText="1"/>
    </xf>
    <xf numFmtId="2" fontId="11" fillId="0" borderId="1" xfId="1" applyNumberFormat="1" applyFont="1" applyBorder="1"/>
    <xf numFmtId="2" fontId="14" fillId="0" borderId="1" xfId="0" applyNumberFormat="1" applyFont="1" applyBorder="1"/>
    <xf numFmtId="2" fontId="15" fillId="0" borderId="1" xfId="0" applyNumberFormat="1" applyFont="1" applyBorder="1"/>
    <xf numFmtId="2" fontId="11" fillId="0" borderId="1" xfId="2" applyNumberFormat="1" applyFont="1" applyBorder="1"/>
    <xf numFmtId="2" fontId="11" fillId="0" borderId="1" xfId="3" applyNumberFormat="1" applyFont="1" applyFill="1" applyBorder="1"/>
    <xf numFmtId="2" fontId="12" fillId="3" borderId="5" xfId="0" applyNumberFormat="1" applyFont="1" applyFill="1" applyBorder="1" applyAlignment="1">
      <alignment horizontal="center"/>
    </xf>
    <xf numFmtId="2" fontId="12" fillId="3" borderId="4" xfId="0" applyNumberFormat="1" applyFont="1" applyFill="1" applyBorder="1" applyAlignment="1">
      <alignment horizontal="center" wrapText="1"/>
    </xf>
    <xf numFmtId="2" fontId="12" fillId="3" borderId="6" xfId="0" applyNumberFormat="1" applyFont="1" applyFill="1" applyBorder="1" applyAlignment="1">
      <alignment horizontal="center" wrapText="1"/>
    </xf>
    <xf numFmtId="2" fontId="14" fillId="3" borderId="1" xfId="0" applyNumberFormat="1" applyFont="1" applyFill="1" applyBorder="1"/>
    <xf numFmtId="2" fontId="15" fillId="3" borderId="1" xfId="0" applyNumberFormat="1" applyFont="1" applyFill="1" applyBorder="1"/>
    <xf numFmtId="2" fontId="11" fillId="3" borderId="1" xfId="2" applyNumberFormat="1" applyFont="1" applyFill="1" applyBorder="1"/>
    <xf numFmtId="2" fontId="14" fillId="4" borderId="1" xfId="0" applyNumberFormat="1" applyFont="1" applyFill="1" applyBorder="1"/>
    <xf numFmtId="2" fontId="16" fillId="3" borderId="1" xfId="0" applyNumberFormat="1" applyFont="1" applyFill="1" applyBorder="1" applyAlignment="1">
      <alignment horizontal="center"/>
    </xf>
    <xf numFmtId="2" fontId="17" fillId="3" borderId="1" xfId="0" applyNumberFormat="1" applyFont="1" applyFill="1" applyBorder="1" applyAlignment="1">
      <alignment horizontal="center"/>
    </xf>
    <xf numFmtId="2" fontId="17" fillId="3" borderId="5" xfId="0" applyNumberFormat="1" applyFont="1" applyFill="1" applyBorder="1" applyAlignment="1">
      <alignment horizontal="center"/>
    </xf>
    <xf numFmtId="2" fontId="17" fillId="3" borderId="4" xfId="0" applyNumberFormat="1" applyFont="1" applyFill="1" applyBorder="1" applyAlignment="1">
      <alignment horizontal="center"/>
    </xf>
    <xf numFmtId="2" fontId="17" fillId="3" borderId="4" xfId="0" applyNumberFormat="1" applyFont="1" applyFill="1" applyBorder="1" applyAlignment="1">
      <alignment horizontal="center" wrapText="1"/>
    </xf>
    <xf numFmtId="2" fontId="17" fillId="3" borderId="6" xfId="0" applyNumberFormat="1" applyFont="1" applyFill="1" applyBorder="1" applyAlignment="1">
      <alignment horizontal="center" wrapText="1"/>
    </xf>
    <xf numFmtId="2" fontId="16" fillId="3" borderId="1" xfId="1" applyNumberFormat="1" applyFont="1" applyFill="1" applyBorder="1" applyAlignment="1">
      <alignment horizontal="center"/>
    </xf>
    <xf numFmtId="2" fontId="18" fillId="3" borderId="1" xfId="0" applyNumberFormat="1" applyFont="1" applyFill="1" applyBorder="1" applyAlignment="1">
      <alignment horizontal="center"/>
    </xf>
    <xf numFmtId="2" fontId="16" fillId="3" borderId="1" xfId="1" applyNumberFormat="1" applyFont="1" applyFill="1" applyBorder="1"/>
    <xf numFmtId="2" fontId="19" fillId="3" borderId="1" xfId="0" applyNumberFormat="1" applyFont="1" applyFill="1" applyBorder="1"/>
    <xf numFmtId="164" fontId="19" fillId="3" borderId="1" xfId="0" applyNumberFormat="1" applyFont="1" applyFill="1" applyBorder="1"/>
    <xf numFmtId="2" fontId="20" fillId="3" borderId="1" xfId="0" applyNumberFormat="1" applyFont="1" applyFill="1" applyBorder="1"/>
    <xf numFmtId="0" fontId="20" fillId="0" borderId="1" xfId="0" applyFont="1" applyBorder="1"/>
    <xf numFmtId="2" fontId="16" fillId="3" borderId="1" xfId="2" applyNumberFormat="1" applyFont="1" applyFill="1" applyBorder="1"/>
    <xf numFmtId="2" fontId="19" fillId="4" borderId="1" xfId="0" applyNumberFormat="1" applyFont="1" applyFill="1" applyBorder="1"/>
    <xf numFmtId="2" fontId="16" fillId="3" borderId="1" xfId="3" applyNumberFormat="1" applyFont="1" applyFill="1" applyBorder="1"/>
    <xf numFmtId="164" fontId="20" fillId="3" borderId="1" xfId="0" applyNumberFormat="1" applyFont="1" applyFill="1" applyBorder="1"/>
    <xf numFmtId="2" fontId="21" fillId="3" borderId="1" xfId="1" applyNumberFormat="1" applyFont="1" applyFill="1" applyBorder="1" applyAlignment="1">
      <alignment horizontal="center" vertical="center"/>
    </xf>
    <xf numFmtId="2" fontId="21" fillId="3" borderId="1" xfId="1" applyNumberFormat="1" applyFont="1" applyFill="1" applyBorder="1" applyAlignment="1">
      <alignment horizontal="center" vertical="center" wrapText="1"/>
    </xf>
    <xf numFmtId="2" fontId="21" fillId="3" borderId="5" xfId="1" applyNumberFormat="1" applyFont="1" applyFill="1" applyBorder="1" applyAlignment="1">
      <alignment horizontal="center" vertical="center"/>
    </xf>
    <xf numFmtId="0" fontId="20" fillId="3" borderId="4" xfId="1" applyFont="1" applyFill="1" applyBorder="1" applyAlignment="1" applyProtection="1">
      <alignment horizontal="center" vertical="center" wrapText="1"/>
      <protection locked="0"/>
    </xf>
    <xf numFmtId="0" fontId="20" fillId="3" borderId="6" xfId="1" applyFont="1" applyFill="1" applyBorder="1" applyAlignment="1" applyProtection="1">
      <alignment horizontal="center" vertical="center" wrapText="1"/>
      <protection locked="0"/>
    </xf>
    <xf numFmtId="0" fontId="20" fillId="3" borderId="1" xfId="1" applyFont="1" applyFill="1" applyBorder="1" applyAlignment="1" applyProtection="1">
      <alignment horizontal="center" vertical="center"/>
      <protection locked="0"/>
    </xf>
    <xf numFmtId="2" fontId="21" fillId="3" borderId="1" xfId="1" applyNumberFormat="1" applyFont="1" applyFill="1" applyBorder="1"/>
    <xf numFmtId="2" fontId="19" fillId="3" borderId="1" xfId="5" applyNumberFormat="1" applyFont="1" applyFill="1" applyBorder="1" applyProtection="1">
      <protection locked="0"/>
    </xf>
    <xf numFmtId="2" fontId="19" fillId="3" borderId="1" xfId="1" applyNumberFormat="1" applyFont="1" applyFill="1" applyBorder="1" applyAlignment="1" applyProtection="1">
      <alignment horizontal="right" wrapText="1"/>
      <protection locked="0"/>
    </xf>
    <xf numFmtId="2" fontId="20" fillId="3" borderId="1" xfId="5" applyNumberFormat="1" applyFont="1" applyFill="1" applyBorder="1" applyAlignment="1" applyProtection="1">
      <alignment horizontal="right"/>
      <protection locked="0"/>
    </xf>
    <xf numFmtId="2" fontId="21" fillId="3" borderId="1" xfId="2" applyNumberFormat="1" applyFont="1" applyFill="1" applyBorder="1"/>
    <xf numFmtId="2" fontId="19" fillId="3" borderId="1" xfId="1" applyNumberFormat="1" applyFont="1" applyFill="1" applyBorder="1" applyProtection="1">
      <protection locked="0"/>
    </xf>
    <xf numFmtId="2" fontId="21" fillId="3" borderId="1" xfId="3" applyNumberFormat="1" applyFont="1" applyFill="1" applyBorder="1"/>
    <xf numFmtId="2" fontId="20" fillId="3" borderId="1" xfId="5" applyNumberFormat="1" applyFont="1" applyFill="1" applyBorder="1" applyProtection="1">
      <protection locked="0"/>
    </xf>
    <xf numFmtId="2" fontId="20" fillId="3" borderId="1" xfId="1" applyNumberFormat="1" applyFont="1" applyFill="1" applyBorder="1" applyAlignment="1" applyProtection="1">
      <alignment horizontal="right" wrapText="1"/>
      <protection locked="0"/>
    </xf>
    <xf numFmtId="165" fontId="24" fillId="3" borderId="1" xfId="5" applyFont="1" applyFill="1" applyBorder="1" applyAlignment="1" applyProtection="1">
      <alignment horizontal="right"/>
      <protection locked="0"/>
    </xf>
    <xf numFmtId="165" fontId="24" fillId="3" borderId="1" xfId="0" applyNumberFormat="1" applyFont="1" applyFill="1" applyBorder="1" applyAlignment="1" applyProtection="1">
      <alignment horizontal="right" wrapText="1"/>
      <protection locked="0"/>
    </xf>
    <xf numFmtId="165" fontId="19" fillId="3" borderId="1" xfId="5" applyFont="1" applyFill="1" applyBorder="1" applyAlignment="1" applyProtection="1">
      <alignment horizontal="right"/>
      <protection locked="0"/>
    </xf>
    <xf numFmtId="165" fontId="19" fillId="3" borderId="1" xfId="1" applyNumberFormat="1" applyFont="1" applyFill="1" applyBorder="1" applyAlignment="1" applyProtection="1">
      <alignment horizontal="right" wrapText="1"/>
      <protection locked="0"/>
    </xf>
    <xf numFmtId="165" fontId="20" fillId="3" borderId="1" xfId="5" applyFont="1" applyFill="1" applyBorder="1" applyAlignment="1" applyProtection="1">
      <alignment horizontal="right"/>
      <protection locked="0"/>
    </xf>
    <xf numFmtId="165" fontId="24" fillId="3" borderId="1" xfId="0" applyNumberFormat="1" applyFont="1" applyFill="1" applyBorder="1" applyAlignment="1" applyProtection="1">
      <alignment horizontal="right"/>
      <protection locked="0"/>
    </xf>
    <xf numFmtId="165" fontId="24" fillId="3" borderId="2" xfId="5" applyFont="1" applyFill="1" applyBorder="1" applyAlignment="1" applyProtection="1">
      <alignment horizontal="right"/>
      <protection locked="0"/>
    </xf>
    <xf numFmtId="165" fontId="25" fillId="3" borderId="1" xfId="5" applyFont="1" applyFill="1" applyBorder="1" applyAlignment="1" applyProtection="1">
      <alignment horizontal="right"/>
      <protection locked="0"/>
    </xf>
    <xf numFmtId="165" fontId="25" fillId="3" borderId="1" xfId="0" applyNumberFormat="1" applyFont="1" applyFill="1" applyBorder="1" applyAlignment="1" applyProtection="1">
      <alignment horizontal="right" wrapText="1"/>
      <protection locked="0"/>
    </xf>
    <xf numFmtId="165" fontId="20" fillId="3" borderId="1" xfId="1" applyNumberFormat="1" applyFont="1" applyFill="1" applyBorder="1" applyAlignment="1" applyProtection="1">
      <alignment horizontal="right" wrapText="1"/>
      <protection locked="0"/>
    </xf>
    <xf numFmtId="164" fontId="2" fillId="2" borderId="1" xfId="0" applyNumberFormat="1" applyFont="1" applyFill="1" applyBorder="1"/>
    <xf numFmtId="0" fontId="2" fillId="0" borderId="0" xfId="0" applyFont="1"/>
    <xf numFmtId="164" fontId="7" fillId="4" borderId="1" xfId="0" applyNumberFormat="1" applyFont="1" applyFill="1" applyBorder="1"/>
    <xf numFmtId="2" fontId="7" fillId="4" borderId="1" xfId="0" applyNumberFormat="1" applyFont="1" applyFill="1" applyBorder="1"/>
    <xf numFmtId="2" fontId="8" fillId="4" borderId="1" xfId="0" applyNumberFormat="1" applyFont="1" applyFill="1" applyBorder="1"/>
    <xf numFmtId="2" fontId="11" fillId="4" borderId="1" xfId="0" applyNumberFormat="1" applyFont="1" applyFill="1" applyBorder="1"/>
    <xf numFmtId="2" fontId="15" fillId="4" borderId="1" xfId="0" applyNumberFormat="1" applyFont="1" applyFill="1" applyBorder="1"/>
    <xf numFmtId="2" fontId="20" fillId="4" borderId="1" xfId="0" applyNumberFormat="1" applyFont="1" applyFill="1" applyBorder="1"/>
    <xf numFmtId="2" fontId="20" fillId="4" borderId="1" xfId="5" applyNumberFormat="1" applyFont="1" applyFill="1" applyBorder="1" applyProtection="1">
      <protection locked="0"/>
    </xf>
    <xf numFmtId="165" fontId="20" fillId="4" borderId="1" xfId="5" applyFont="1" applyFill="1" applyBorder="1" applyAlignment="1" applyProtection="1">
      <alignment horizontal="right"/>
      <protection locked="0"/>
    </xf>
    <xf numFmtId="164" fontId="7" fillId="5" borderId="1" xfId="0" applyNumberFormat="1" applyFont="1" applyFill="1" applyBorder="1"/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7" fillId="5" borderId="1" xfId="0" applyNumberFormat="1" applyFont="1" applyFill="1" applyBorder="1"/>
    <xf numFmtId="2" fontId="8" fillId="5" borderId="1" xfId="0" applyNumberFormat="1" applyFont="1" applyFill="1" applyBorder="1"/>
    <xf numFmtId="2" fontId="11" fillId="5" borderId="1" xfId="0" applyNumberFormat="1" applyFont="1" applyFill="1" applyBorder="1"/>
    <xf numFmtId="2" fontId="15" fillId="5" borderId="1" xfId="0" applyNumberFormat="1" applyFont="1" applyFill="1" applyBorder="1"/>
    <xf numFmtId="2" fontId="20" fillId="5" borderId="1" xfId="0" applyNumberFormat="1" applyFont="1" applyFill="1" applyBorder="1"/>
    <xf numFmtId="2" fontId="20" fillId="5" borderId="1" xfId="5" applyNumberFormat="1" applyFont="1" applyFill="1" applyBorder="1" applyProtection="1">
      <protection locked="0"/>
    </xf>
    <xf numFmtId="165" fontId="20" fillId="5" borderId="1" xfId="5" applyFont="1" applyFill="1" applyBorder="1" applyAlignment="1" applyProtection="1">
      <alignment horizontal="right"/>
      <protection locked="0"/>
    </xf>
    <xf numFmtId="164" fontId="2" fillId="6" borderId="1" xfId="0" applyNumberFormat="1" applyFont="1" applyFill="1" applyBorder="1"/>
    <xf numFmtId="2" fontId="2" fillId="6" borderId="1" xfId="0" applyNumberFormat="1" applyFont="1" applyFill="1" applyBorder="1"/>
    <xf numFmtId="2" fontId="8" fillId="6" borderId="1" xfId="0" applyNumberFormat="1" applyFont="1" applyFill="1" applyBorder="1"/>
    <xf numFmtId="2" fontId="11" fillId="6" borderId="1" xfId="0" applyNumberFormat="1" applyFont="1" applyFill="1" applyBorder="1"/>
    <xf numFmtId="2" fontId="15" fillId="6" borderId="1" xfId="0" applyNumberFormat="1" applyFont="1" applyFill="1" applyBorder="1"/>
    <xf numFmtId="2" fontId="20" fillId="6" borderId="1" xfId="0" applyNumberFormat="1" applyFont="1" applyFill="1" applyBorder="1"/>
    <xf numFmtId="2" fontId="20" fillId="6" borderId="1" xfId="1" applyNumberFormat="1" applyFont="1" applyFill="1" applyBorder="1" applyAlignment="1" applyProtection="1">
      <alignment horizontal="right" wrapText="1"/>
      <protection locked="0"/>
    </xf>
    <xf numFmtId="2" fontId="20" fillId="6" borderId="1" xfId="5" applyNumberFormat="1" applyFont="1" applyFill="1" applyBorder="1" applyProtection="1">
      <protection locked="0"/>
    </xf>
    <xf numFmtId="165" fontId="25" fillId="6" borderId="1" xfId="0" applyNumberFormat="1" applyFont="1" applyFill="1" applyBorder="1" applyAlignment="1" applyProtection="1">
      <alignment horizontal="right" wrapText="1"/>
      <protection locked="0"/>
    </xf>
    <xf numFmtId="165" fontId="20" fillId="6" borderId="1" xfId="1" applyNumberFormat="1" applyFont="1" applyFill="1" applyBorder="1" applyAlignment="1" applyProtection="1">
      <alignment horizontal="right" wrapText="1"/>
      <protection locked="0"/>
    </xf>
    <xf numFmtId="165" fontId="20" fillId="6" borderId="1" xfId="5" applyFont="1" applyFill="1" applyBorder="1" applyAlignment="1" applyProtection="1">
      <alignment horizontal="right"/>
      <protection locked="0"/>
    </xf>
    <xf numFmtId="2" fontId="26" fillId="3" borderId="1" xfId="1" applyNumberFormat="1" applyFont="1" applyFill="1" applyBorder="1" applyAlignment="1">
      <alignment horizontal="center" vertical="center"/>
    </xf>
    <xf numFmtId="2" fontId="26" fillId="3" borderId="1" xfId="1" applyNumberFormat="1" applyFont="1" applyFill="1" applyBorder="1" applyAlignment="1">
      <alignment horizontal="center" vertical="center" wrapText="1"/>
    </xf>
    <xf numFmtId="0" fontId="27" fillId="3" borderId="4" xfId="1" applyFont="1" applyFill="1" applyBorder="1" applyAlignment="1" applyProtection="1">
      <alignment horizontal="center" vertical="center" wrapText="1"/>
      <protection locked="0"/>
    </xf>
    <xf numFmtId="2" fontId="27" fillId="3" borderId="1" xfId="1" applyNumberFormat="1" applyFont="1" applyFill="1" applyBorder="1" applyAlignment="1" applyProtection="1">
      <alignment horizontal="center" vertical="center"/>
      <protection locked="0"/>
    </xf>
    <xf numFmtId="0" fontId="27" fillId="3" borderId="1" xfId="1" applyFont="1" applyFill="1" applyBorder="1" applyProtection="1">
      <protection locked="0"/>
    </xf>
    <xf numFmtId="2" fontId="26" fillId="3" borderId="1" xfId="1" applyNumberFormat="1" applyFont="1" applyFill="1" applyBorder="1"/>
    <xf numFmtId="2" fontId="28" fillId="3" borderId="1" xfId="5" applyNumberFormat="1" applyFont="1" applyFill="1" applyBorder="1" applyProtection="1">
      <protection locked="0"/>
    </xf>
    <xf numFmtId="2" fontId="28" fillId="3" borderId="1" xfId="0" applyNumberFormat="1" applyFont="1" applyFill="1" applyBorder="1" applyAlignment="1" applyProtection="1">
      <alignment horizontal="right" wrapText="1"/>
      <protection locked="0"/>
    </xf>
    <xf numFmtId="2" fontId="28" fillId="3" borderId="1" xfId="1" applyNumberFormat="1" applyFont="1" applyFill="1" applyBorder="1" applyAlignment="1" applyProtection="1">
      <alignment horizontal="right" wrapText="1"/>
      <protection locked="0"/>
    </xf>
    <xf numFmtId="2" fontId="27" fillId="3" borderId="1" xfId="5" applyNumberFormat="1" applyFont="1" applyFill="1" applyBorder="1" applyAlignment="1" applyProtection="1">
      <alignment horizontal="right"/>
      <protection locked="0"/>
    </xf>
    <xf numFmtId="2" fontId="26" fillId="3" borderId="1" xfId="2" applyNumberFormat="1" applyFont="1" applyFill="1" applyBorder="1"/>
    <xf numFmtId="166" fontId="28" fillId="3" borderId="1" xfId="1" applyNumberFormat="1" applyFont="1" applyFill="1" applyBorder="1" applyAlignment="1" applyProtection="1">
      <alignment horizontal="right" wrapText="1"/>
      <protection locked="0"/>
    </xf>
    <xf numFmtId="166" fontId="28" fillId="3" borderId="1" xfId="5" applyNumberFormat="1" applyFont="1" applyFill="1" applyBorder="1" applyProtection="1">
      <protection locked="0"/>
    </xf>
    <xf numFmtId="2" fontId="28" fillId="3" borderId="1" xfId="0" applyNumberFormat="1" applyFont="1" applyFill="1" applyBorder="1" applyProtection="1">
      <protection locked="0"/>
    </xf>
    <xf numFmtId="167" fontId="28" fillId="3" borderId="1" xfId="1" applyNumberFormat="1" applyFont="1" applyFill="1" applyBorder="1" applyAlignment="1" applyProtection="1">
      <alignment horizontal="right" wrapText="1"/>
      <protection locked="0"/>
    </xf>
    <xf numFmtId="167" fontId="28" fillId="3" borderId="1" xfId="5" applyNumberFormat="1" applyFont="1" applyFill="1" applyBorder="1" applyProtection="1">
      <protection locked="0"/>
    </xf>
    <xf numFmtId="2" fontId="26" fillId="3" borderId="1" xfId="3" applyNumberFormat="1" applyFont="1" applyFill="1" applyBorder="1"/>
    <xf numFmtId="166" fontId="28" fillId="3" borderId="1" xfId="0" applyNumberFormat="1" applyFont="1" applyFill="1" applyBorder="1" applyAlignment="1" applyProtection="1">
      <alignment horizontal="right" wrapText="1"/>
      <protection locked="0"/>
    </xf>
    <xf numFmtId="166" fontId="28" fillId="3" borderId="1" xfId="0" applyNumberFormat="1" applyFont="1" applyFill="1" applyBorder="1" applyProtection="1">
      <protection locked="0"/>
    </xf>
    <xf numFmtId="166" fontId="28" fillId="3" borderId="2" xfId="5" applyNumberFormat="1" applyFont="1" applyFill="1" applyBorder="1" applyProtection="1">
      <protection locked="0"/>
    </xf>
    <xf numFmtId="2" fontId="28" fillId="3" borderId="2" xfId="5" applyNumberFormat="1" applyFont="1" applyFill="1" applyBorder="1" applyProtection="1">
      <protection locked="0"/>
    </xf>
    <xf numFmtId="168" fontId="28" fillId="3" borderId="1" xfId="5" applyNumberFormat="1" applyFont="1" applyFill="1" applyBorder="1" applyProtection="1">
      <protection locked="0"/>
    </xf>
    <xf numFmtId="164" fontId="28" fillId="3" borderId="1" xfId="5" applyNumberFormat="1" applyFont="1" applyFill="1" applyBorder="1" applyProtection="1">
      <protection locked="0"/>
    </xf>
    <xf numFmtId="2" fontId="27" fillId="5" borderId="1" xfId="5" applyNumberFormat="1" applyFont="1" applyFill="1" applyBorder="1" applyProtection="1">
      <protection locked="0"/>
    </xf>
    <xf numFmtId="2" fontId="27" fillId="3" borderId="1" xfId="5" applyNumberFormat="1" applyFont="1" applyFill="1" applyBorder="1" applyProtection="1">
      <protection locked="0"/>
    </xf>
    <xf numFmtId="2" fontId="27" fillId="4" borderId="1" xfId="5" applyNumberFormat="1" applyFont="1" applyFill="1" applyBorder="1" applyProtection="1">
      <protection locked="0"/>
    </xf>
    <xf numFmtId="2" fontId="26" fillId="3" borderId="5" xfId="1" applyNumberFormat="1" applyFont="1" applyFill="1" applyBorder="1" applyAlignment="1">
      <alignment horizontal="center" vertical="center"/>
    </xf>
    <xf numFmtId="0" fontId="27" fillId="3" borderId="6" xfId="1" applyFont="1" applyFill="1" applyBorder="1" applyAlignment="1" applyProtection="1">
      <alignment horizontal="center" vertical="center" wrapText="1"/>
      <protection locked="0"/>
    </xf>
    <xf numFmtId="2" fontId="27" fillId="3" borderId="7" xfId="1" applyNumberFormat="1" applyFont="1" applyFill="1" applyBorder="1" applyAlignment="1" applyProtection="1">
      <alignment horizontal="center" vertical="center"/>
      <protection locked="0"/>
    </xf>
    <xf numFmtId="2" fontId="27" fillId="3" borderId="1" xfId="1" applyNumberFormat="1" applyFont="1" applyFill="1" applyBorder="1" applyAlignment="1" applyProtection="1">
      <alignment horizontal="right" wrapText="1"/>
      <protection locked="0"/>
    </xf>
    <xf numFmtId="2" fontId="27" fillId="6" borderId="1" xfId="0" applyNumberFormat="1" applyFont="1" applyFill="1" applyBorder="1" applyAlignment="1" applyProtection="1">
      <alignment horizontal="right" wrapText="1"/>
      <protection locked="0"/>
    </xf>
    <xf numFmtId="2" fontId="27" fillId="0" borderId="1" xfId="0" applyNumberFormat="1" applyFont="1" applyBorder="1" applyAlignment="1" applyProtection="1">
      <alignment horizontal="right" wrapText="1"/>
      <protection locked="0"/>
    </xf>
    <xf numFmtId="2" fontId="28" fillId="6" borderId="1" xfId="0" applyNumberFormat="1" applyFont="1" applyFill="1" applyBorder="1" applyAlignment="1" applyProtection="1">
      <alignment horizontal="right" wrapText="1"/>
      <protection locked="0"/>
    </xf>
    <xf numFmtId="2" fontId="27" fillId="6" borderId="1" xfId="1" applyNumberFormat="1" applyFont="1" applyFill="1" applyBorder="1" applyAlignment="1" applyProtection="1">
      <alignment horizontal="right" wrapText="1"/>
      <protection locked="0"/>
    </xf>
    <xf numFmtId="2" fontId="27" fillId="6" borderId="1" xfId="5" applyNumberFormat="1" applyFont="1" applyFill="1" applyBorder="1" applyProtection="1">
      <protection locked="0"/>
    </xf>
    <xf numFmtId="164" fontId="7" fillId="7" borderId="1" xfId="0" applyNumberFormat="1" applyFont="1" applyFill="1" applyBorder="1"/>
    <xf numFmtId="2" fontId="27" fillId="7" borderId="1" xfId="5" applyNumberFormat="1" applyFont="1" applyFill="1" applyBorder="1" applyProtection="1">
      <protection locked="0"/>
    </xf>
    <xf numFmtId="2" fontId="7" fillId="7" borderId="1" xfId="0" applyNumberFormat="1" applyFont="1" applyFill="1" applyBorder="1"/>
    <xf numFmtId="2" fontId="8" fillId="7" borderId="1" xfId="0" applyNumberFormat="1" applyFont="1" applyFill="1" applyBorder="1"/>
    <xf numFmtId="2" fontId="11" fillId="7" borderId="1" xfId="0" applyNumberFormat="1" applyFont="1" applyFill="1" applyBorder="1"/>
    <xf numFmtId="2" fontId="15" fillId="7" borderId="1" xfId="0" applyNumberFormat="1" applyFont="1" applyFill="1" applyBorder="1"/>
    <xf numFmtId="2" fontId="20" fillId="7" borderId="1" xfId="0" applyNumberFormat="1" applyFont="1" applyFill="1" applyBorder="1"/>
    <xf numFmtId="2" fontId="20" fillId="7" borderId="1" xfId="5" applyNumberFormat="1" applyFont="1" applyFill="1" applyBorder="1" applyProtection="1">
      <protection locked="0"/>
    </xf>
    <xf numFmtId="165" fontId="20" fillId="7" borderId="1" xfId="5" applyFont="1" applyFill="1" applyBorder="1" applyAlignment="1" applyProtection="1">
      <alignment horizontal="right"/>
      <protection locked="0"/>
    </xf>
    <xf numFmtId="164" fontId="7" fillId="8" borderId="1" xfId="0" applyNumberFormat="1" applyFont="1" applyFill="1" applyBorder="1"/>
    <xf numFmtId="2" fontId="27" fillId="8" borderId="1" xfId="5" applyNumberFormat="1" applyFont="1" applyFill="1" applyBorder="1" applyProtection="1">
      <protection locked="0"/>
    </xf>
    <xf numFmtId="2" fontId="7" fillId="8" borderId="1" xfId="0" applyNumberFormat="1" applyFont="1" applyFill="1" applyBorder="1"/>
    <xf numFmtId="2" fontId="8" fillId="8" borderId="1" xfId="0" applyNumberFormat="1" applyFont="1" applyFill="1" applyBorder="1"/>
    <xf numFmtId="2" fontId="11" fillId="8" borderId="1" xfId="0" applyNumberFormat="1" applyFont="1" applyFill="1" applyBorder="1"/>
    <xf numFmtId="2" fontId="15" fillId="8" borderId="1" xfId="0" applyNumberFormat="1" applyFont="1" applyFill="1" applyBorder="1"/>
    <xf numFmtId="2" fontId="27" fillId="0" borderId="1" xfId="5" applyNumberFormat="1" applyFont="1" applyFill="1" applyBorder="1" applyProtection="1">
      <protection locked="0"/>
    </xf>
    <xf numFmtId="2" fontId="20" fillId="8" borderId="1" xfId="0" applyNumberFormat="1" applyFont="1" applyFill="1" applyBorder="1"/>
    <xf numFmtId="2" fontId="20" fillId="8" borderId="1" xfId="5" applyNumberFormat="1" applyFont="1" applyFill="1" applyBorder="1" applyProtection="1">
      <protection locked="0"/>
    </xf>
    <xf numFmtId="165" fontId="20" fillId="8" borderId="1" xfId="5" applyFont="1" applyFill="1" applyBorder="1" applyAlignment="1" applyProtection="1">
      <alignment horizontal="right"/>
      <protection locked="0"/>
    </xf>
    <xf numFmtId="164" fontId="7" fillId="9" borderId="1" xfId="0" applyNumberFormat="1" applyFont="1" applyFill="1" applyBorder="1"/>
    <xf numFmtId="164" fontId="2" fillId="0" borderId="1" xfId="0" applyNumberFormat="1" applyFont="1" applyBorder="1"/>
    <xf numFmtId="2" fontId="27" fillId="10" borderId="1" xfId="5" applyNumberFormat="1" applyFont="1" applyFill="1" applyBorder="1" applyProtection="1">
      <protection locked="0"/>
    </xf>
    <xf numFmtId="2" fontId="7" fillId="10" borderId="1" xfId="0" applyNumberFormat="1" applyFont="1" applyFill="1" applyBorder="1"/>
    <xf numFmtId="2" fontId="8" fillId="10" borderId="1" xfId="0" applyNumberFormat="1" applyFont="1" applyFill="1" applyBorder="1"/>
    <xf numFmtId="2" fontId="11" fillId="10" borderId="1" xfId="0" applyNumberFormat="1" applyFont="1" applyFill="1" applyBorder="1"/>
    <xf numFmtId="2" fontId="15" fillId="10" borderId="1" xfId="0" applyNumberFormat="1" applyFont="1" applyFill="1" applyBorder="1"/>
    <xf numFmtId="2" fontId="20" fillId="10" borderId="1" xfId="0" applyNumberFormat="1" applyFont="1" applyFill="1" applyBorder="1"/>
    <xf numFmtId="2" fontId="20" fillId="10" borderId="1" xfId="5" applyNumberFormat="1" applyFont="1" applyFill="1" applyBorder="1" applyProtection="1">
      <protection locked="0"/>
    </xf>
    <xf numFmtId="165" fontId="20" fillId="10" borderId="1" xfId="5" applyFont="1" applyFill="1" applyBorder="1" applyAlignment="1" applyProtection="1">
      <alignment horizontal="right"/>
      <protection locked="0"/>
    </xf>
    <xf numFmtId="164" fontId="7" fillId="11" borderId="1" xfId="0" applyNumberFormat="1" applyFont="1" applyFill="1" applyBorder="1"/>
    <xf numFmtId="2" fontId="27" fillId="11" borderId="1" xfId="5" applyNumberFormat="1" applyFont="1" applyFill="1" applyBorder="1" applyProtection="1">
      <protection locked="0"/>
    </xf>
    <xf numFmtId="2" fontId="0" fillId="11" borderId="0" xfId="0" applyNumberFormat="1" applyFill="1"/>
    <xf numFmtId="2" fontId="7" fillId="11" borderId="1" xfId="0" applyNumberFormat="1" applyFont="1" applyFill="1" applyBorder="1"/>
    <xf numFmtId="2" fontId="8" fillId="11" borderId="1" xfId="0" applyNumberFormat="1" applyFont="1" applyFill="1" applyBorder="1"/>
    <xf numFmtId="2" fontId="11" fillId="11" borderId="1" xfId="0" applyNumberFormat="1" applyFont="1" applyFill="1" applyBorder="1"/>
    <xf numFmtId="2" fontId="15" fillId="11" borderId="1" xfId="0" applyNumberFormat="1" applyFont="1" applyFill="1" applyBorder="1"/>
    <xf numFmtId="2" fontId="20" fillId="11" borderId="1" xfId="0" applyNumberFormat="1" applyFont="1" applyFill="1" applyBorder="1"/>
    <xf numFmtId="2" fontId="20" fillId="11" borderId="1" xfId="5" applyNumberFormat="1" applyFont="1" applyFill="1" applyBorder="1" applyProtection="1">
      <protection locked="0"/>
    </xf>
    <xf numFmtId="165" fontId="20" fillId="11" borderId="1" xfId="5" applyFont="1" applyFill="1" applyBorder="1" applyAlignment="1" applyProtection="1">
      <alignment horizontal="right"/>
      <protection locked="0"/>
    </xf>
    <xf numFmtId="43" fontId="0" fillId="11" borderId="0" xfId="0" applyNumberFormat="1" applyFill="1"/>
    <xf numFmtId="2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justify"/>
    </xf>
    <xf numFmtId="2" fontId="26" fillId="3" borderId="1" xfId="1" applyNumberFormat="1" applyFont="1" applyFill="1" applyBorder="1" applyAlignment="1">
      <alignment horizontal="center" vertical="center" wrapText="1"/>
    </xf>
    <xf numFmtId="2" fontId="26" fillId="3" borderId="1" xfId="1" applyNumberFormat="1" applyFont="1" applyFill="1" applyBorder="1" applyAlignment="1">
      <alignment horizontal="center" vertical="center"/>
    </xf>
    <xf numFmtId="0" fontId="27" fillId="3" borderId="5" xfId="1" applyFont="1" applyFill="1" applyBorder="1" applyAlignment="1" applyProtection="1">
      <alignment horizontal="center" vertical="center" wrapText="1"/>
      <protection locked="0"/>
    </xf>
    <xf numFmtId="0" fontId="27" fillId="3" borderId="4" xfId="1" applyFont="1" applyFill="1" applyBorder="1" applyAlignment="1" applyProtection="1">
      <alignment horizontal="center" vertical="center" wrapText="1"/>
      <protection locked="0"/>
    </xf>
    <xf numFmtId="164" fontId="27" fillId="3" borderId="1" xfId="1" applyNumberFormat="1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justify"/>
    </xf>
    <xf numFmtId="164" fontId="9" fillId="3" borderId="5" xfId="0" applyNumberFormat="1" applyFont="1" applyFill="1" applyBorder="1" applyAlignment="1">
      <alignment horizontal="center"/>
    </xf>
    <xf numFmtId="164" fontId="9" fillId="3" borderId="6" xfId="0" applyNumberFormat="1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 vertical="justify"/>
    </xf>
    <xf numFmtId="2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 vertical="justify"/>
    </xf>
    <xf numFmtId="2" fontId="12" fillId="0" borderId="1" xfId="0" applyNumberFormat="1" applyFont="1" applyBorder="1" applyAlignment="1">
      <alignment horizontal="center"/>
    </xf>
    <xf numFmtId="2" fontId="12" fillId="3" borderId="5" xfId="0" applyNumberFormat="1" applyFont="1" applyFill="1" applyBorder="1" applyAlignment="1">
      <alignment horizontal="center" wrapText="1"/>
    </xf>
    <xf numFmtId="2" fontId="12" fillId="3" borderId="4" xfId="0" applyNumberFormat="1" applyFont="1" applyFill="1" applyBorder="1" applyAlignment="1">
      <alignment horizontal="center" wrapText="1"/>
    </xf>
    <xf numFmtId="2" fontId="12" fillId="0" borderId="5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2" fontId="12" fillId="0" borderId="5" xfId="0" applyNumberFormat="1" applyFont="1" applyBorder="1" applyAlignment="1">
      <alignment horizontal="center" wrapText="1"/>
    </xf>
    <xf numFmtId="2" fontId="12" fillId="0" borderId="4" xfId="0" applyNumberFormat="1" applyFont="1" applyBorder="1" applyAlignment="1">
      <alignment horizontal="center" wrapText="1"/>
    </xf>
    <xf numFmtId="2" fontId="11" fillId="0" borderId="3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17" fillId="3" borderId="5" xfId="0" applyNumberFormat="1" applyFont="1" applyFill="1" applyBorder="1" applyAlignment="1">
      <alignment horizontal="center" wrapText="1"/>
    </xf>
    <xf numFmtId="2" fontId="17" fillId="3" borderId="4" xfId="0" applyNumberFormat="1" applyFont="1" applyFill="1" applyBorder="1" applyAlignment="1">
      <alignment horizontal="center" wrapText="1"/>
    </xf>
    <xf numFmtId="2" fontId="17" fillId="3" borderId="1" xfId="0" applyNumberFormat="1" applyFont="1" applyFill="1" applyBorder="1" applyAlignment="1">
      <alignment horizontal="center"/>
    </xf>
    <xf numFmtId="2" fontId="17" fillId="3" borderId="5" xfId="0" applyNumberFormat="1" applyFont="1" applyFill="1" applyBorder="1" applyAlignment="1">
      <alignment horizontal="center"/>
    </xf>
    <xf numFmtId="2" fontId="17" fillId="3" borderId="4" xfId="0" applyNumberFormat="1" applyFont="1" applyFill="1" applyBorder="1" applyAlignment="1">
      <alignment horizontal="center"/>
    </xf>
    <xf numFmtId="2" fontId="21" fillId="3" borderId="1" xfId="1" applyNumberFormat="1" applyFont="1" applyFill="1" applyBorder="1" applyAlignment="1">
      <alignment horizontal="center" vertical="center" wrapText="1"/>
    </xf>
    <xf numFmtId="2" fontId="21" fillId="3" borderId="1" xfId="1" applyNumberFormat="1" applyFont="1" applyFill="1" applyBorder="1" applyAlignment="1">
      <alignment horizontal="center" vertical="center"/>
    </xf>
    <xf numFmtId="0" fontId="20" fillId="3" borderId="5" xfId="1" applyFont="1" applyFill="1" applyBorder="1" applyAlignment="1" applyProtection="1">
      <alignment horizontal="center" vertical="center" wrapText="1"/>
      <protection locked="0"/>
    </xf>
    <xf numFmtId="0" fontId="20" fillId="3" borderId="4" xfId="1" applyFont="1" applyFill="1" applyBorder="1" applyAlignment="1" applyProtection="1">
      <alignment horizontal="center" vertical="center" wrapText="1"/>
      <protection locked="0"/>
    </xf>
    <xf numFmtId="164" fontId="20" fillId="3" borderId="1" xfId="1" applyNumberFormat="1" applyFont="1" applyFill="1" applyBorder="1" applyAlignment="1" applyProtection="1">
      <alignment horizontal="center" vertical="center"/>
      <protection locked="0"/>
    </xf>
  </cellXfs>
  <cellStyles count="6">
    <cellStyle name="Comma 2" xfId="5" xr:uid="{CB492444-6B06-4DCE-A5E0-EB1605B17C8E}"/>
    <cellStyle name="Normal" xfId="0" builtinId="0"/>
    <cellStyle name="Normal 10" xfId="1" xr:uid="{5966EA53-6447-4E63-B1DE-8AF430878DDC}"/>
    <cellStyle name="Normal 7" xfId="2" xr:uid="{15F973CB-B99F-4942-B6E2-B0582A1979CB}"/>
    <cellStyle name="Normal 7 6" xfId="4" xr:uid="{B5315347-BB76-45D4-B366-3E02F55560BF}"/>
    <cellStyle name="Percent 2" xfId="3" xr:uid="{E549A8EF-A3C9-48D9-98D2-7D01D0A82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%20Games\2016-17_%20Final%20Estimates.xls" TargetMode="External"/><Relationship Id="rId1" Type="http://schemas.openxmlformats.org/officeDocument/2006/relationships/externalLinkPath" Target="file:///D:\Download%20Games\2016-17_%20Final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Horticulture"/>
      <sheetName val="Fruits 2016-17(Final)"/>
      <sheetName val=" Citrus 2016-17Final)"/>
      <sheetName val="Vegetables 2016-17(Final)"/>
      <sheetName val="Plantation 2016-17(Final)"/>
      <sheetName val="Spices 2016-17(Final)"/>
      <sheetName val="Flowers 2016-17(Final)"/>
      <sheetName val="UT's 2016-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9">
          <cell r="N69">
            <v>0.01</v>
          </cell>
          <cell r="O69">
            <v>0.02</v>
          </cell>
        </row>
        <row r="71">
          <cell r="N71">
            <v>0</v>
          </cell>
          <cell r="O71">
            <v>0.02</v>
          </cell>
        </row>
        <row r="84">
          <cell r="N84">
            <v>0.06</v>
          </cell>
          <cell r="O84">
            <v>0.32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20E7-734D-4F88-ABAD-7FF81A14B30A}">
  <dimension ref="A1:BC34"/>
  <sheetViews>
    <sheetView tabSelected="1" topLeftCell="A19" workbookViewId="0">
      <selection activeCell="D34" sqref="D34"/>
    </sheetView>
  </sheetViews>
  <sheetFormatPr defaultRowHeight="14.4" x14ac:dyDescent="0.3"/>
  <cols>
    <col min="1" max="1" width="22.21875" bestFit="1" customWidth="1"/>
  </cols>
  <sheetData>
    <row r="1" spans="1:55" x14ac:dyDescent="0.3">
      <c r="A1" s="1" t="s">
        <v>0</v>
      </c>
      <c r="B1" s="217" t="s">
        <v>1</v>
      </c>
      <c r="C1" s="217"/>
      <c r="D1" s="2"/>
      <c r="E1" s="217" t="s">
        <v>2</v>
      </c>
      <c r="F1" s="217"/>
      <c r="G1" s="2"/>
      <c r="H1" s="217" t="s">
        <v>3</v>
      </c>
      <c r="I1" s="217"/>
      <c r="J1" s="2"/>
      <c r="K1" s="217" t="s">
        <v>4</v>
      </c>
      <c r="L1" s="217"/>
      <c r="M1" s="2"/>
      <c r="N1" s="217" t="s">
        <v>5</v>
      </c>
      <c r="O1" s="217"/>
      <c r="P1" s="2"/>
      <c r="Q1" s="217" t="s">
        <v>6</v>
      </c>
      <c r="R1" s="217"/>
      <c r="S1" s="2"/>
      <c r="T1" s="217" t="s">
        <v>7</v>
      </c>
      <c r="U1" s="217"/>
      <c r="V1" s="2"/>
      <c r="W1" s="217" t="s">
        <v>8</v>
      </c>
      <c r="X1" s="217"/>
      <c r="Y1" s="2"/>
      <c r="Z1" s="217" t="s">
        <v>9</v>
      </c>
      <c r="AA1" s="217"/>
      <c r="AB1" s="2"/>
      <c r="AC1" s="217" t="s">
        <v>10</v>
      </c>
      <c r="AD1" s="217"/>
      <c r="AE1" s="2"/>
      <c r="AF1" s="217" t="s">
        <v>11</v>
      </c>
      <c r="AG1" s="217"/>
      <c r="AH1" s="2"/>
      <c r="AI1" s="217" t="s">
        <v>12</v>
      </c>
      <c r="AJ1" s="217"/>
      <c r="AK1" s="2"/>
      <c r="AL1" s="218" t="s">
        <v>13</v>
      </c>
      <c r="AM1" s="218"/>
      <c r="AN1" s="3"/>
      <c r="AO1" s="217" t="s">
        <v>14</v>
      </c>
      <c r="AP1" s="217"/>
      <c r="AQ1" s="2"/>
      <c r="AR1" s="217" t="s">
        <v>15</v>
      </c>
      <c r="AS1" s="217"/>
      <c r="AT1" s="2"/>
      <c r="AU1" s="217" t="s">
        <v>16</v>
      </c>
      <c r="AV1" s="217"/>
      <c r="AW1" s="2"/>
      <c r="AX1" s="217" t="s">
        <v>17</v>
      </c>
      <c r="AY1" s="217"/>
      <c r="AZ1" s="2"/>
      <c r="BA1" s="217" t="s">
        <v>18</v>
      </c>
      <c r="BB1" s="217"/>
      <c r="BC1" s="4"/>
    </row>
    <row r="2" spans="1:55" x14ac:dyDescent="0.3">
      <c r="A2" s="5"/>
      <c r="B2" s="122" t="s">
        <v>19</v>
      </c>
      <c r="C2" s="2" t="s">
        <v>20</v>
      </c>
      <c r="D2" s="2" t="s">
        <v>21</v>
      </c>
      <c r="E2" s="123" t="s">
        <v>19</v>
      </c>
      <c r="F2" s="121" t="s">
        <v>20</v>
      </c>
      <c r="G2" s="2" t="s">
        <v>21</v>
      </c>
      <c r="H2" s="122" t="s">
        <v>19</v>
      </c>
      <c r="I2" s="121" t="s">
        <v>20</v>
      </c>
      <c r="J2" s="2" t="s">
        <v>21</v>
      </c>
      <c r="K2" s="122" t="s">
        <v>19</v>
      </c>
      <c r="L2" s="121" t="s">
        <v>20</v>
      </c>
      <c r="M2" s="2" t="s">
        <v>21</v>
      </c>
      <c r="N2" s="122" t="s">
        <v>19</v>
      </c>
      <c r="O2" s="121" t="s">
        <v>20</v>
      </c>
      <c r="P2" s="2" t="s">
        <v>21</v>
      </c>
      <c r="Q2" s="2" t="s">
        <v>19</v>
      </c>
      <c r="R2" s="2" t="s">
        <v>20</v>
      </c>
      <c r="S2" s="2" t="s">
        <v>21</v>
      </c>
      <c r="T2" s="122" t="s">
        <v>19</v>
      </c>
      <c r="U2" s="121" t="s">
        <v>20</v>
      </c>
      <c r="V2" s="2" t="s">
        <v>21</v>
      </c>
      <c r="W2" s="122" t="s">
        <v>19</v>
      </c>
      <c r="X2" s="121" t="s">
        <v>20</v>
      </c>
      <c r="Y2" s="2" t="s">
        <v>21</v>
      </c>
      <c r="Z2" s="2" t="s">
        <v>19</v>
      </c>
      <c r="AA2" s="2" t="s">
        <v>20</v>
      </c>
      <c r="AB2" s="2" t="s">
        <v>21</v>
      </c>
      <c r="AC2" s="2" t="s">
        <v>19</v>
      </c>
      <c r="AD2" s="2" t="s">
        <v>20</v>
      </c>
      <c r="AE2" s="2" t="s">
        <v>21</v>
      </c>
      <c r="AF2" s="2" t="s">
        <v>19</v>
      </c>
      <c r="AG2" s="2" t="s">
        <v>20</v>
      </c>
      <c r="AH2" s="2" t="s">
        <v>21</v>
      </c>
      <c r="AI2" s="2" t="s">
        <v>19</v>
      </c>
      <c r="AJ2" s="2" t="s">
        <v>20</v>
      </c>
      <c r="AK2" s="2" t="s">
        <v>21</v>
      </c>
      <c r="AL2" s="2" t="s">
        <v>19</v>
      </c>
      <c r="AM2" s="2" t="s">
        <v>20</v>
      </c>
      <c r="AN2" s="2" t="s">
        <v>21</v>
      </c>
      <c r="AO2" s="2" t="s">
        <v>19</v>
      </c>
      <c r="AP2" s="2" t="s">
        <v>20</v>
      </c>
      <c r="AQ2" s="2" t="s">
        <v>21</v>
      </c>
      <c r="AR2" s="2" t="s">
        <v>19</v>
      </c>
      <c r="AS2" s="2" t="s">
        <v>20</v>
      </c>
      <c r="AT2" s="2" t="s">
        <v>21</v>
      </c>
      <c r="AU2" s="2" t="s">
        <v>19</v>
      </c>
      <c r="AV2" s="2" t="s">
        <v>20</v>
      </c>
      <c r="AW2" s="2" t="s">
        <v>21</v>
      </c>
      <c r="AX2" s="2" t="s">
        <v>19</v>
      </c>
      <c r="AY2" s="2" t="s">
        <v>20</v>
      </c>
      <c r="AZ2" s="2" t="s">
        <v>21</v>
      </c>
      <c r="BA2" s="2" t="s">
        <v>19</v>
      </c>
      <c r="BB2" s="2" t="s">
        <v>20</v>
      </c>
      <c r="BC2" s="2" t="s">
        <v>21</v>
      </c>
    </row>
    <row r="3" spans="1:55" x14ac:dyDescent="0.3">
      <c r="A3" s="6" t="s">
        <v>22</v>
      </c>
      <c r="B3" s="7">
        <v>0.6</v>
      </c>
      <c r="C3" s="7">
        <v>3.1710000000000002E-2</v>
      </c>
      <c r="D3" s="7">
        <f>C3/B3</f>
        <v>5.2850000000000008E-2</v>
      </c>
      <c r="E3" s="7">
        <v>0.21</v>
      </c>
      <c r="F3" s="7">
        <v>1.855</v>
      </c>
      <c r="G3" s="7">
        <f>F3/E3</f>
        <v>8.8333333333333339</v>
      </c>
      <c r="H3" s="7">
        <v>0.38500000000000001</v>
      </c>
      <c r="I3" s="7">
        <v>0.57999999999999996</v>
      </c>
      <c r="J3" s="7">
        <f>I3/H3</f>
        <v>1.5064935064935063</v>
      </c>
      <c r="K3" s="7">
        <v>0.08</v>
      </c>
      <c r="L3" s="7">
        <v>0.48499999999999999</v>
      </c>
      <c r="M3" s="7">
        <f>L3/K3</f>
        <v>6.0625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>
        <v>0.15</v>
      </c>
      <c r="AM3" s="7">
        <v>2.8000000000000001E-2</v>
      </c>
      <c r="AN3" s="7">
        <f>AM3/AL3</f>
        <v>0.18666666666666668</v>
      </c>
      <c r="AO3" s="7">
        <v>7.0000000000000007E-2</v>
      </c>
      <c r="AP3" s="7">
        <v>3.5100000000000001E-3</v>
      </c>
      <c r="AQ3" s="7"/>
      <c r="AR3" s="7">
        <v>0.156</v>
      </c>
      <c r="AS3" s="7">
        <v>1.1000000000000001E-3</v>
      </c>
      <c r="AT3" s="7"/>
      <c r="AU3" s="7"/>
      <c r="AV3" s="7"/>
      <c r="AW3" s="7"/>
      <c r="AX3" s="7"/>
      <c r="AY3" s="7"/>
      <c r="AZ3" s="7"/>
      <c r="BA3" s="8">
        <f>B3+E3+H3+K3+N3+Q3+T3+W3+Z3+AC3+AF3+AI3+AL3+AO3+AR3+AU3+AX3</f>
        <v>1.6509999999999998</v>
      </c>
      <c r="BB3" s="8">
        <f t="shared" ref="BA3:BB32" si="0">C3+F3+I3+L3+O3+R3+U3+X3+AA3+AD3+AG3+AJ3+AM3+AP3+AS3+AV3+AY3</f>
        <v>2.9843199999999999</v>
      </c>
      <c r="BC3" s="9">
        <f>BB3/BA3</f>
        <v>1.8075832828588736</v>
      </c>
    </row>
    <row r="4" spans="1:55" x14ac:dyDescent="0.3">
      <c r="A4" s="6" t="s">
        <v>23</v>
      </c>
      <c r="B4" s="7">
        <v>0.01</v>
      </c>
      <c r="C4" s="7">
        <v>2E-3</v>
      </c>
      <c r="D4" s="7">
        <f t="shared" ref="D4:D34" si="1">C4/B4</f>
        <v>0.2</v>
      </c>
      <c r="E4" s="7">
        <v>2.3199999999999998</v>
      </c>
      <c r="F4" s="7">
        <v>20</v>
      </c>
      <c r="G4" s="7">
        <f t="shared" ref="G4:G34" si="2">F4/E4</f>
        <v>8.6206896551724146</v>
      </c>
      <c r="H4" s="7">
        <v>183</v>
      </c>
      <c r="I4" s="7">
        <v>565</v>
      </c>
      <c r="J4" s="7">
        <f t="shared" ref="J4:J34" si="3">I4/H4</f>
        <v>3.0874316939890711</v>
      </c>
      <c r="K4" s="10">
        <v>75</v>
      </c>
      <c r="L4" s="10">
        <v>485</v>
      </c>
      <c r="M4" s="7">
        <f t="shared" ref="M4:M34" si="4">L4/K4</f>
        <v>6.4666666666666668</v>
      </c>
      <c r="N4" s="7">
        <v>0.4</v>
      </c>
      <c r="O4" s="7">
        <v>0</v>
      </c>
      <c r="P4" s="7">
        <f>O4/N4</f>
        <v>0</v>
      </c>
      <c r="Q4" s="7"/>
      <c r="R4" s="7"/>
      <c r="S4" s="7"/>
      <c r="T4" s="7">
        <v>20.8</v>
      </c>
      <c r="U4" s="7">
        <v>26</v>
      </c>
      <c r="V4" s="7">
        <f>U4/T4</f>
        <v>1.25</v>
      </c>
      <c r="W4" s="7"/>
      <c r="X4" s="7"/>
      <c r="Y4" s="7"/>
      <c r="Z4" s="7"/>
      <c r="AA4" s="7"/>
      <c r="AB4" s="7"/>
      <c r="AC4" s="7"/>
      <c r="AD4" s="7"/>
      <c r="AE4" s="7"/>
      <c r="AF4" s="7">
        <v>5.08</v>
      </c>
      <c r="AG4" s="7">
        <v>2.3980000000000001</v>
      </c>
      <c r="AH4" s="7">
        <f>AG4/AF4</f>
        <v>0.47204724409448823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>
        <v>6.2</v>
      </c>
      <c r="AV4" s="7">
        <v>30.9</v>
      </c>
      <c r="AW4" s="7">
        <f>AV4/AU4</f>
        <v>4.9838709677419351</v>
      </c>
      <c r="AX4" s="7">
        <v>8.9999999999999993E-3</v>
      </c>
      <c r="AY4" s="7">
        <v>1.4E-2</v>
      </c>
      <c r="AZ4" s="7">
        <f>AY4/AX4</f>
        <v>1.5555555555555558</v>
      </c>
      <c r="BA4" s="8">
        <f t="shared" si="0"/>
        <v>292.81900000000002</v>
      </c>
      <c r="BB4" s="8">
        <f t="shared" si="0"/>
        <v>1129.3139999999999</v>
      </c>
      <c r="BC4" s="9">
        <f t="shared" ref="BC4:BC34" si="5">BB4/BA4</f>
        <v>3.8566964575386153</v>
      </c>
    </row>
    <row r="5" spans="1:55" x14ac:dyDescent="0.3">
      <c r="A5" s="11" t="s">
        <v>24</v>
      </c>
      <c r="B5" s="7"/>
      <c r="C5" s="7"/>
      <c r="D5" s="7"/>
      <c r="E5" s="7">
        <v>6.8</v>
      </c>
      <c r="F5" s="7">
        <v>53</v>
      </c>
      <c r="G5" s="7">
        <f t="shared" si="2"/>
        <v>7.7941176470588234</v>
      </c>
      <c r="H5" s="7">
        <v>2.6</v>
      </c>
      <c r="I5" s="7">
        <v>5.5</v>
      </c>
      <c r="J5" s="7">
        <f t="shared" si="3"/>
        <v>2.1153846153846154</v>
      </c>
      <c r="K5" s="7">
        <v>0.65</v>
      </c>
      <c r="L5" s="7">
        <v>3.1</v>
      </c>
      <c r="M5" s="7">
        <f t="shared" si="4"/>
        <v>4.7692307692307692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8">
        <f t="shared" si="0"/>
        <v>10.050000000000001</v>
      </c>
      <c r="BB5" s="8">
        <f t="shared" si="0"/>
        <v>61.6</v>
      </c>
      <c r="BC5" s="9">
        <f t="shared" si="5"/>
        <v>6.1293532338308454</v>
      </c>
    </row>
    <row r="6" spans="1:55" x14ac:dyDescent="0.3">
      <c r="A6" s="6" t="s">
        <v>25</v>
      </c>
      <c r="B6" s="7">
        <v>3.4420000000000002</v>
      </c>
      <c r="C6" s="7">
        <v>1.7453700000000001</v>
      </c>
      <c r="D6" s="7">
        <f t="shared" si="1"/>
        <v>0.50708018593840787</v>
      </c>
      <c r="E6" s="7">
        <v>16.989999999999998</v>
      </c>
      <c r="F6" s="7">
        <v>125.42100000000001</v>
      </c>
      <c r="G6" s="7">
        <f t="shared" si="2"/>
        <v>7.3820482636845215</v>
      </c>
      <c r="H6" s="7">
        <v>19.995000000000001</v>
      </c>
      <c r="I6" s="7">
        <v>13.356</v>
      </c>
      <c r="J6" s="7">
        <f t="shared" si="3"/>
        <v>0.66796699174793694</v>
      </c>
      <c r="K6" s="7">
        <v>15.468</v>
      </c>
      <c r="L6" s="7">
        <v>13.302</v>
      </c>
      <c r="M6" s="7">
        <f t="shared" si="4"/>
        <v>0.85996896819239721</v>
      </c>
      <c r="N6" s="7">
        <v>9.6869999999999994</v>
      </c>
      <c r="O6" s="7">
        <v>62.529000000000003</v>
      </c>
      <c r="P6" s="7">
        <f t="shared" ref="P6:P34" si="6">O6/N6</f>
        <v>6.4549396097863125</v>
      </c>
      <c r="Q6" s="7"/>
      <c r="R6" s="7"/>
      <c r="S6" s="7"/>
      <c r="T6" s="7">
        <v>27.463000000000001</v>
      </c>
      <c r="U6" s="7">
        <v>45.204000000000001</v>
      </c>
      <c r="V6" s="7">
        <f t="shared" ref="V6:V34" si="7">U6/T6</f>
        <v>1.6459964315624658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8">
        <f t="shared" si="0"/>
        <v>93.044999999999987</v>
      </c>
      <c r="BB6" s="8">
        <f t="shared" si="0"/>
        <v>261.55736999999999</v>
      </c>
      <c r="BC6" s="9">
        <f t="shared" si="5"/>
        <v>2.8110846364662265</v>
      </c>
    </row>
    <row r="7" spans="1:55" x14ac:dyDescent="0.3">
      <c r="A7" s="6" t="s">
        <v>26</v>
      </c>
      <c r="B7" s="7"/>
      <c r="C7" s="7"/>
      <c r="D7" s="7"/>
      <c r="E7" s="7">
        <v>0.56000000000000005</v>
      </c>
      <c r="F7" s="7">
        <v>0.84</v>
      </c>
      <c r="G7" s="7">
        <f t="shared" si="2"/>
        <v>1.4999999999999998</v>
      </c>
      <c r="H7" s="7">
        <v>2.9</v>
      </c>
      <c r="I7" s="7">
        <v>3</v>
      </c>
      <c r="J7" s="7">
        <f t="shared" si="3"/>
        <v>1.0344827586206897</v>
      </c>
      <c r="K7" s="7">
        <v>3</v>
      </c>
      <c r="L7" s="7">
        <v>3</v>
      </c>
      <c r="M7" s="7">
        <f t="shared" si="4"/>
        <v>1</v>
      </c>
      <c r="N7" s="7">
        <v>4.25</v>
      </c>
      <c r="O7" s="7">
        <v>4</v>
      </c>
      <c r="P7" s="7">
        <f t="shared" si="6"/>
        <v>0.94117647058823528</v>
      </c>
      <c r="Q7" s="7"/>
      <c r="R7" s="7"/>
      <c r="S7" s="7"/>
      <c r="T7" s="7">
        <v>2.2999999999999998</v>
      </c>
      <c r="U7" s="7">
        <v>1.7</v>
      </c>
      <c r="V7" s="7">
        <f t="shared" si="7"/>
        <v>0.73913043478260876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8">
        <f t="shared" si="0"/>
        <v>13.010000000000002</v>
      </c>
      <c r="BB7" s="8">
        <f t="shared" si="0"/>
        <v>12.54</v>
      </c>
      <c r="BC7" s="9">
        <f t="shared" si="5"/>
        <v>0.9638739431206762</v>
      </c>
    </row>
    <row r="8" spans="1:55" x14ac:dyDescent="0.3">
      <c r="A8" s="6" t="s">
        <v>27</v>
      </c>
      <c r="B8" s="7"/>
      <c r="C8" s="7"/>
      <c r="D8" s="7"/>
      <c r="E8" s="7">
        <v>1.07</v>
      </c>
      <c r="F8" s="7">
        <v>1.415</v>
      </c>
      <c r="G8" s="7">
        <f t="shared" si="2"/>
        <v>1.3224299065420559</v>
      </c>
      <c r="H8" s="7">
        <v>5.5549999999999997</v>
      </c>
      <c r="I8" s="7">
        <v>2.7549999999999999</v>
      </c>
      <c r="J8" s="7">
        <f t="shared" si="3"/>
        <v>0.49594959495949598</v>
      </c>
      <c r="K8" s="7">
        <v>0.91</v>
      </c>
      <c r="L8" s="7">
        <v>0.77</v>
      </c>
      <c r="M8" s="7">
        <f t="shared" si="4"/>
        <v>0.84615384615384615</v>
      </c>
      <c r="N8" s="7">
        <v>0.99</v>
      </c>
      <c r="O8" s="7">
        <v>2.5190000000000001</v>
      </c>
      <c r="P8" s="7">
        <f t="shared" si="6"/>
        <v>2.5444444444444447</v>
      </c>
      <c r="Q8" s="7"/>
      <c r="R8" s="7"/>
      <c r="S8" s="7"/>
      <c r="T8" s="7">
        <v>3.1459999999999999</v>
      </c>
      <c r="U8" s="7">
        <v>0.85799999999999998</v>
      </c>
      <c r="V8" s="7">
        <f t="shared" si="7"/>
        <v>0.27272727272727271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8">
        <f t="shared" si="0"/>
        <v>11.670999999999999</v>
      </c>
      <c r="BB8" s="8">
        <f t="shared" si="0"/>
        <v>8.3170000000000002</v>
      </c>
      <c r="BC8" s="9">
        <f t="shared" si="5"/>
        <v>0.71262102647588044</v>
      </c>
    </row>
    <row r="9" spans="1:55" x14ac:dyDescent="0.3">
      <c r="A9" s="6" t="s">
        <v>28</v>
      </c>
      <c r="B9" s="7">
        <v>0.73099999999999998</v>
      </c>
      <c r="C9" s="7">
        <v>0.23400000000000001</v>
      </c>
      <c r="D9" s="7">
        <f t="shared" si="1"/>
        <v>0.32010943912448703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8">
        <f t="shared" si="0"/>
        <v>0.73099999999999998</v>
      </c>
      <c r="BB9" s="8">
        <f t="shared" si="0"/>
        <v>0.23400000000000001</v>
      </c>
      <c r="BC9" s="9">
        <f t="shared" si="5"/>
        <v>0.32010943912448703</v>
      </c>
    </row>
    <row r="10" spans="1:55" x14ac:dyDescent="0.3">
      <c r="A10" s="6" t="s">
        <v>29</v>
      </c>
      <c r="B10" s="7"/>
      <c r="C10" s="7"/>
      <c r="D10" s="7"/>
      <c r="E10" s="7">
        <v>4.3949999999999996</v>
      </c>
      <c r="F10" s="7">
        <v>70.646000000000001</v>
      </c>
      <c r="G10" s="7">
        <f t="shared" si="2"/>
        <v>16.074175199089876</v>
      </c>
      <c r="H10" s="7">
        <v>43.395000000000003</v>
      </c>
      <c r="I10" s="7">
        <v>68.534000000000006</v>
      </c>
      <c r="J10" s="7">
        <f t="shared" si="3"/>
        <v>1.579306371701809</v>
      </c>
      <c r="K10" s="7">
        <v>2.9750000000000001</v>
      </c>
      <c r="L10" s="7">
        <v>50.493000000000002</v>
      </c>
      <c r="M10" s="7">
        <f t="shared" si="4"/>
        <v>16.972436974789915</v>
      </c>
      <c r="N10" s="7">
        <v>39.200000000000003</v>
      </c>
      <c r="O10" s="7">
        <v>277.45499999999998</v>
      </c>
      <c r="P10" s="7">
        <f t="shared" si="6"/>
        <v>7.0779336734693867</v>
      </c>
      <c r="Q10" s="7"/>
      <c r="R10" s="7"/>
      <c r="S10" s="7"/>
      <c r="T10" s="7">
        <v>20.574000000000002</v>
      </c>
      <c r="U10" s="7">
        <v>32.31</v>
      </c>
      <c r="V10" s="7">
        <f t="shared" si="7"/>
        <v>1.5704286964129484</v>
      </c>
      <c r="W10" s="7">
        <v>373.9</v>
      </c>
      <c r="X10" s="7">
        <v>283.30200000000002</v>
      </c>
      <c r="Y10" s="7">
        <f>X10/W10</f>
        <v>0.7576945707408399</v>
      </c>
      <c r="Z10" s="7">
        <v>39.5</v>
      </c>
      <c r="AA10" s="7">
        <v>57.941000000000003</v>
      </c>
      <c r="AB10" s="7">
        <f>AA10/Z10</f>
        <v>1.4668607594936709</v>
      </c>
      <c r="AC10" s="7">
        <v>5.26</v>
      </c>
      <c r="AD10" s="7">
        <v>13.959</v>
      </c>
      <c r="AE10" s="7">
        <f>AD10/AC10</f>
        <v>2.6538022813688213</v>
      </c>
      <c r="AF10" s="7">
        <v>5.8659999999999997</v>
      </c>
      <c r="AG10" s="7">
        <v>6.3689999999999998</v>
      </c>
      <c r="AH10" s="7">
        <f t="shared" ref="AH10:AH34" si="8">AG10/AF10</f>
        <v>1.0857483804977839</v>
      </c>
      <c r="AI10" s="7">
        <v>16.600000000000001</v>
      </c>
      <c r="AJ10" s="7">
        <v>21.132000000000001</v>
      </c>
      <c r="AK10" s="7">
        <f>AJ10/AI10</f>
        <v>1.2730120481927711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8">
        <f t="shared" si="0"/>
        <v>551.66499999999996</v>
      </c>
      <c r="BB10" s="8">
        <f t="shared" si="0"/>
        <v>882.14099999999996</v>
      </c>
      <c r="BC10" s="9">
        <f t="shared" si="5"/>
        <v>1.599051960882057</v>
      </c>
    </row>
    <row r="11" spans="1:55" x14ac:dyDescent="0.3">
      <c r="A11" s="6" t="s">
        <v>30</v>
      </c>
      <c r="B11" s="7"/>
      <c r="C11" s="7"/>
      <c r="D11" s="7"/>
      <c r="E11" s="7">
        <v>0.56999999999999995</v>
      </c>
      <c r="F11" s="7">
        <v>7.7850000000000001</v>
      </c>
      <c r="G11" s="7">
        <f t="shared" si="2"/>
        <v>13.657894736842106</v>
      </c>
      <c r="H11" s="7">
        <v>1.0449999999999999</v>
      </c>
      <c r="I11" s="7">
        <v>8.9280000000000008</v>
      </c>
      <c r="J11" s="7">
        <f t="shared" si="3"/>
        <v>8.5435406698564602</v>
      </c>
      <c r="K11" s="7">
        <v>1.996</v>
      </c>
      <c r="L11" s="7">
        <v>18.3</v>
      </c>
      <c r="M11" s="7">
        <f t="shared" si="4"/>
        <v>9.168336673346694</v>
      </c>
      <c r="N11" s="7">
        <v>1.3640000000000001</v>
      </c>
      <c r="O11" s="7">
        <v>11.611000000000001</v>
      </c>
      <c r="P11" s="7">
        <f t="shared" si="6"/>
        <v>8.5124633431085037</v>
      </c>
      <c r="Q11" s="7"/>
      <c r="R11" s="7"/>
      <c r="S11" s="7"/>
      <c r="T11" s="7">
        <v>2.4329999999999998</v>
      </c>
      <c r="U11" s="7">
        <v>3.1560000000000001</v>
      </c>
      <c r="V11" s="7">
        <f t="shared" si="7"/>
        <v>1.2971639950678178</v>
      </c>
      <c r="W11" s="7"/>
      <c r="X11" s="7"/>
      <c r="Y11" s="7"/>
      <c r="Z11" s="7">
        <v>0.1</v>
      </c>
      <c r="AA11" s="7">
        <v>0.11899999999999999</v>
      </c>
      <c r="AB11" s="7">
        <f t="shared" ref="AB11:AB34" si="9">AA11/Z11</f>
        <v>1.19</v>
      </c>
      <c r="AC11" s="7">
        <v>5.29</v>
      </c>
      <c r="AD11" s="7">
        <v>11.786</v>
      </c>
      <c r="AE11" s="7">
        <f t="shared" ref="AE11:AE34" si="10">AD11/AC11</f>
        <v>2.2279773156899809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8">
        <f t="shared" si="0"/>
        <v>12.797999999999998</v>
      </c>
      <c r="BB11" s="8">
        <f t="shared" si="0"/>
        <v>61.685000000000009</v>
      </c>
      <c r="BC11" s="9">
        <f t="shared" si="5"/>
        <v>4.8198937333958449</v>
      </c>
    </row>
    <row r="12" spans="1:55" x14ac:dyDescent="0.3">
      <c r="A12" s="6" t="s">
        <v>31</v>
      </c>
      <c r="B12" s="7"/>
      <c r="C12" s="7"/>
      <c r="D12" s="7"/>
      <c r="E12" s="7">
        <v>2.1800000000000002</v>
      </c>
      <c r="F12" s="7">
        <v>16.760000000000002</v>
      </c>
      <c r="G12" s="7">
        <f t="shared" si="2"/>
        <v>7.6880733944954134</v>
      </c>
      <c r="H12" s="7">
        <v>0.70899999999999996</v>
      </c>
      <c r="I12" s="7">
        <v>0.27700000000000002</v>
      </c>
      <c r="J12" s="7">
        <f t="shared" si="3"/>
        <v>0.39069111424541614</v>
      </c>
      <c r="K12" s="7">
        <v>0.185</v>
      </c>
      <c r="L12" s="7">
        <v>0.10199999999999999</v>
      </c>
      <c r="M12" s="7">
        <f t="shared" si="4"/>
        <v>0.55135135135135127</v>
      </c>
      <c r="N12" s="7">
        <v>1.4730000000000001</v>
      </c>
      <c r="O12" s="7">
        <v>2.0510000000000002</v>
      </c>
      <c r="P12" s="7">
        <f t="shared" si="6"/>
        <v>1.3923964697895452</v>
      </c>
      <c r="Q12" s="7"/>
      <c r="R12" s="7"/>
      <c r="S12" s="7"/>
      <c r="T12" s="7">
        <v>0.14099999999999999</v>
      </c>
      <c r="U12" s="7">
        <v>4.8000000000000001E-2</v>
      </c>
      <c r="V12" s="7">
        <f t="shared" si="7"/>
        <v>0.34042553191489366</v>
      </c>
      <c r="W12" s="7">
        <v>7.8E-2</v>
      </c>
      <c r="X12" s="7">
        <v>2.1000000000000001E-2</v>
      </c>
      <c r="Y12" s="7">
        <f t="shared" ref="Y12:Y34" si="11">X12/W12</f>
        <v>0.26923076923076927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8">
        <f t="shared" si="0"/>
        <v>4.7660000000000009</v>
      </c>
      <c r="BB12" s="8">
        <f t="shared" si="0"/>
        <v>19.259000000000004</v>
      </c>
      <c r="BC12" s="9">
        <f t="shared" si="5"/>
        <v>4.0409148132605957</v>
      </c>
    </row>
    <row r="13" spans="1:55" x14ac:dyDescent="0.3">
      <c r="A13" s="6" t="s">
        <v>32</v>
      </c>
      <c r="B13" s="7"/>
      <c r="C13" s="7"/>
      <c r="D13" s="7"/>
      <c r="E13" s="7">
        <v>3.4000000000000002E-2</v>
      </c>
      <c r="F13" s="7">
        <v>4.48E-2</v>
      </c>
      <c r="G13" s="7">
        <f t="shared" si="2"/>
        <v>1.3176470588235294</v>
      </c>
      <c r="H13" s="7">
        <v>0.56399999999999995</v>
      </c>
      <c r="I13" s="7">
        <v>0.54279999999999995</v>
      </c>
      <c r="J13" s="7">
        <f t="shared" si="3"/>
        <v>0.9624113475177305</v>
      </c>
      <c r="K13" s="7">
        <v>1.7000000000000001E-2</v>
      </c>
      <c r="L13" s="7">
        <v>1.72E-2</v>
      </c>
      <c r="M13" s="7">
        <f t="shared" si="4"/>
        <v>1.0117647058823529</v>
      </c>
      <c r="N13" s="7">
        <v>0.54300000000000004</v>
      </c>
      <c r="O13" s="7">
        <v>0.4637</v>
      </c>
      <c r="P13" s="7">
        <f t="shared" si="6"/>
        <v>0.8539594843462246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>
        <v>2.9889999999999999</v>
      </c>
      <c r="AY13" s="7">
        <v>8.8500000000000002E-3</v>
      </c>
      <c r="AZ13" s="7">
        <f t="shared" ref="AZ13:AZ34" si="12">AY13/AX13</f>
        <v>2.9608564737370361E-3</v>
      </c>
      <c r="BA13" s="8">
        <f t="shared" si="0"/>
        <v>4.1470000000000002</v>
      </c>
      <c r="BB13" s="8">
        <f t="shared" si="0"/>
        <v>1.0773499999999998</v>
      </c>
      <c r="BC13" s="9">
        <f t="shared" si="5"/>
        <v>0.25979020979020973</v>
      </c>
    </row>
    <row r="14" spans="1:55" x14ac:dyDescent="0.3">
      <c r="A14" s="6" t="s">
        <v>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8">
        <f t="shared" si="0"/>
        <v>0</v>
      </c>
      <c r="BB14" s="8">
        <f t="shared" si="0"/>
        <v>0</v>
      </c>
      <c r="BC14" s="9"/>
    </row>
    <row r="15" spans="1:55" x14ac:dyDescent="0.3">
      <c r="A15" s="6" t="s">
        <v>34</v>
      </c>
      <c r="B15" s="7">
        <v>20</v>
      </c>
      <c r="C15" s="7">
        <v>5.5</v>
      </c>
      <c r="D15" s="7">
        <f t="shared" si="1"/>
        <v>0.27500000000000002</v>
      </c>
      <c r="E15" s="7">
        <v>40</v>
      </c>
      <c r="F15" s="7">
        <v>139.6</v>
      </c>
      <c r="G15" s="7">
        <f t="shared" si="2"/>
        <v>3.4899999999999998</v>
      </c>
      <c r="H15" s="7">
        <v>133.4</v>
      </c>
      <c r="I15" s="7">
        <v>153.13999999999999</v>
      </c>
      <c r="J15" s="7">
        <f t="shared" si="3"/>
        <v>1.1479760119940028</v>
      </c>
      <c r="K15" s="7">
        <v>15.9</v>
      </c>
      <c r="L15" s="7">
        <v>100</v>
      </c>
      <c r="M15" s="7">
        <f t="shared" si="4"/>
        <v>6.2893081761006284</v>
      </c>
      <c r="N15" s="7">
        <v>5.6929999999999996</v>
      </c>
      <c r="O15" s="7">
        <v>6</v>
      </c>
      <c r="P15" s="7">
        <f t="shared" si="6"/>
        <v>1.0539258738802038</v>
      </c>
      <c r="Q15" s="7">
        <v>21.9</v>
      </c>
      <c r="R15" s="7">
        <v>1.9</v>
      </c>
      <c r="S15" s="7">
        <f>R15/Q15</f>
        <v>8.6757990867579904E-2</v>
      </c>
      <c r="T15" s="7">
        <v>8.6</v>
      </c>
      <c r="U15" s="7">
        <v>8</v>
      </c>
      <c r="V15" s="7">
        <f t="shared" si="7"/>
        <v>0.93023255813953487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>
        <v>3.6999999999999998E-2</v>
      </c>
      <c r="AM15" s="7">
        <v>7.0000000000000001E-3</v>
      </c>
      <c r="AN15" s="7">
        <f t="shared" ref="AN15:AN34" si="13">AM15/AL15</f>
        <v>0.1891891891891892</v>
      </c>
      <c r="AO15" s="7">
        <v>0.14699999999999999</v>
      </c>
      <c r="AP15" s="7">
        <v>0.15</v>
      </c>
      <c r="AQ15" s="7">
        <f>AP15/AO15</f>
        <v>1.0204081632653061</v>
      </c>
      <c r="AR15" s="7">
        <v>0.122</v>
      </c>
      <c r="AS15" s="7">
        <v>0.17</v>
      </c>
      <c r="AT15" s="7">
        <f>AS15/AR15</f>
        <v>1.3934426229508199</v>
      </c>
      <c r="AU15" s="7">
        <v>16.8</v>
      </c>
      <c r="AV15" s="7">
        <v>87</v>
      </c>
      <c r="AW15" s="7">
        <f t="shared" ref="AW15:AW34" si="14">AV15/AU15</f>
        <v>5.1785714285714279</v>
      </c>
      <c r="AX15" s="7">
        <v>2.5179999999999998</v>
      </c>
      <c r="AY15" s="7">
        <v>0.99399999999999999</v>
      </c>
      <c r="AZ15" s="7">
        <f t="shared" si="12"/>
        <v>0.39475774424146148</v>
      </c>
      <c r="BA15" s="8">
        <f t="shared" si="0"/>
        <v>265.11700000000002</v>
      </c>
      <c r="BB15" s="8">
        <f t="shared" si="0"/>
        <v>502.46100000000001</v>
      </c>
      <c r="BC15" s="9">
        <f t="shared" si="5"/>
        <v>1.8952424778494024</v>
      </c>
    </row>
    <row r="16" spans="1:55" x14ac:dyDescent="0.3">
      <c r="A16" s="6" t="s">
        <v>35</v>
      </c>
      <c r="B16" s="7">
        <v>170.25</v>
      </c>
      <c r="C16" s="7">
        <v>31.69</v>
      </c>
      <c r="D16" s="7">
        <f t="shared" si="1"/>
        <v>0.18613803230543319</v>
      </c>
      <c r="E16" s="7">
        <v>5.8280000000000003</v>
      </c>
      <c r="F16" s="7">
        <v>31.596</v>
      </c>
      <c r="G16" s="7">
        <f t="shared" si="2"/>
        <v>5.4214138641043235</v>
      </c>
      <c r="H16" s="7">
        <v>1.913</v>
      </c>
      <c r="I16" s="7">
        <v>3.101</v>
      </c>
      <c r="J16" s="7">
        <f t="shared" si="3"/>
        <v>1.6210141139571355</v>
      </c>
      <c r="K16" s="7">
        <v>2.4039999999999999</v>
      </c>
      <c r="L16" s="7">
        <v>6.3049999999999997</v>
      </c>
      <c r="M16" s="7">
        <f t="shared" si="4"/>
        <v>2.6227121464226291</v>
      </c>
      <c r="N16" s="7">
        <v>7.4999999999999997E-2</v>
      </c>
      <c r="O16" s="7">
        <v>0.65</v>
      </c>
      <c r="P16" s="7">
        <f t="shared" si="6"/>
        <v>8.6666666666666679</v>
      </c>
      <c r="Q16" s="7">
        <v>41.593000000000004</v>
      </c>
      <c r="R16" s="7">
        <v>7.8</v>
      </c>
      <c r="S16" s="7">
        <f t="shared" ref="S16:S34" si="15">R16/Q16</f>
        <v>0.18753155579063782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>
        <v>0.32100000000000001</v>
      </c>
      <c r="AM16" s="7"/>
      <c r="AN16" s="7">
        <f t="shared" si="13"/>
        <v>0</v>
      </c>
      <c r="AO16" s="7">
        <v>17.22</v>
      </c>
      <c r="AP16" s="7">
        <v>12.42</v>
      </c>
      <c r="AQ16" s="7">
        <f t="shared" ref="AQ16:AQ34" si="16">AP16/AO16</f>
        <v>0.72125435540069693</v>
      </c>
      <c r="AR16" s="7">
        <v>1.226</v>
      </c>
      <c r="AS16" s="7">
        <v>0.1</v>
      </c>
      <c r="AT16" s="7">
        <f t="shared" ref="AT16:AT34" si="17">AS16/AR16</f>
        <v>8.1566068515497553E-2</v>
      </c>
      <c r="AU16" s="7">
        <v>12.711</v>
      </c>
      <c r="AV16" s="7">
        <v>19.100000000000001</v>
      </c>
      <c r="AW16" s="7">
        <f t="shared" si="14"/>
        <v>1.5026355125481867</v>
      </c>
      <c r="AX16" s="7">
        <v>1.0089999999999999</v>
      </c>
      <c r="AY16" s="7">
        <v>4.036E-2</v>
      </c>
      <c r="AZ16" s="7">
        <f t="shared" si="12"/>
        <v>0.04</v>
      </c>
      <c r="BA16" s="8">
        <f t="shared" si="0"/>
        <v>254.54999999999998</v>
      </c>
      <c r="BB16" s="8">
        <f t="shared" si="0"/>
        <v>112.80236000000001</v>
      </c>
      <c r="BC16" s="9">
        <f t="shared" si="5"/>
        <v>0.44314421528187004</v>
      </c>
    </row>
    <row r="17" spans="1:55" x14ac:dyDescent="0.3">
      <c r="A17" s="6" t="s">
        <v>36</v>
      </c>
      <c r="B17" s="7"/>
      <c r="C17" s="7"/>
      <c r="D17" s="7"/>
      <c r="E17" s="7">
        <v>9</v>
      </c>
      <c r="F17" s="7">
        <v>15</v>
      </c>
      <c r="G17" s="7">
        <f t="shared" si="2"/>
        <v>1.6666666666666667</v>
      </c>
      <c r="H17" s="7">
        <v>54.41</v>
      </c>
      <c r="I17" s="7">
        <v>93.57</v>
      </c>
      <c r="J17" s="7">
        <f t="shared" si="3"/>
        <v>1.7197206395883109</v>
      </c>
      <c r="K17" s="7">
        <v>1.5</v>
      </c>
      <c r="L17" s="7">
        <v>0.6</v>
      </c>
      <c r="M17" s="7">
        <f t="shared" si="4"/>
        <v>0.39999999999999997</v>
      </c>
      <c r="N17" s="7">
        <v>60</v>
      </c>
      <c r="O17" s="7">
        <v>270</v>
      </c>
      <c r="P17" s="7">
        <f t="shared" si="6"/>
        <v>4.5</v>
      </c>
      <c r="Q17" s="7"/>
      <c r="R17" s="7"/>
      <c r="S17" s="7"/>
      <c r="T17" s="7">
        <v>175</v>
      </c>
      <c r="U17" s="7">
        <v>82</v>
      </c>
      <c r="V17" s="7">
        <f t="shared" si="7"/>
        <v>0.46857142857142858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8">
        <f t="shared" si="0"/>
        <v>299.90999999999997</v>
      </c>
      <c r="BB17" s="8">
        <f t="shared" si="0"/>
        <v>461.16999999999996</v>
      </c>
      <c r="BC17" s="9">
        <f t="shared" si="5"/>
        <v>1.537694641725851</v>
      </c>
    </row>
    <row r="18" spans="1:55" x14ac:dyDescent="0.3">
      <c r="A18" s="6" t="s">
        <v>37</v>
      </c>
      <c r="B18" s="7"/>
      <c r="C18" s="7"/>
      <c r="D18" s="7"/>
      <c r="E18" s="7">
        <v>1.06</v>
      </c>
      <c r="F18" s="7">
        <v>1.04</v>
      </c>
      <c r="G18" s="7">
        <f t="shared" si="2"/>
        <v>0.98113207547169812</v>
      </c>
      <c r="H18" s="7">
        <v>99.5</v>
      </c>
      <c r="I18" s="7">
        <v>45.6</v>
      </c>
      <c r="J18" s="7">
        <f t="shared" si="3"/>
        <v>0.45829145728643217</v>
      </c>
      <c r="K18" s="7">
        <v>6.76</v>
      </c>
      <c r="L18" s="7">
        <v>8.43</v>
      </c>
      <c r="M18" s="7">
        <f t="shared" si="4"/>
        <v>1.2470414201183433</v>
      </c>
      <c r="N18" s="7">
        <v>3.5</v>
      </c>
      <c r="O18" s="7">
        <v>40</v>
      </c>
      <c r="P18" s="7">
        <f t="shared" si="6"/>
        <v>11.428571428571429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>
        <v>5.7</v>
      </c>
      <c r="AV18" s="7">
        <v>11.4</v>
      </c>
      <c r="AW18" s="7">
        <f t="shared" si="14"/>
        <v>2</v>
      </c>
      <c r="AX18" s="7"/>
      <c r="AY18" s="7"/>
      <c r="AZ18" s="7"/>
      <c r="BA18" s="8">
        <f t="shared" si="0"/>
        <v>116.52000000000001</v>
      </c>
      <c r="BB18" s="8">
        <f t="shared" si="0"/>
        <v>106.47</v>
      </c>
      <c r="BC18" s="9">
        <f t="shared" si="5"/>
        <v>0.91374871266735314</v>
      </c>
    </row>
    <row r="19" spans="1:55" x14ac:dyDescent="0.3">
      <c r="A19" s="12" t="s">
        <v>38</v>
      </c>
      <c r="B19" s="7"/>
      <c r="C19" s="7"/>
      <c r="D19" s="7"/>
      <c r="E19" s="7">
        <v>2.4</v>
      </c>
      <c r="F19" s="7">
        <v>3.84</v>
      </c>
      <c r="G19" s="7">
        <f t="shared" si="2"/>
        <v>1.6</v>
      </c>
      <c r="H19" s="7">
        <v>6.5</v>
      </c>
      <c r="I19" s="7">
        <v>3.9</v>
      </c>
      <c r="J19" s="7">
        <f t="shared" si="3"/>
        <v>0.6</v>
      </c>
      <c r="K19" s="7">
        <v>1.4</v>
      </c>
      <c r="L19" s="7">
        <v>16.399999999999999</v>
      </c>
      <c r="M19" s="7">
        <f t="shared" si="4"/>
        <v>11.714285714285714</v>
      </c>
      <c r="N19" s="7">
        <v>0.17</v>
      </c>
      <c r="O19" s="7">
        <v>0</v>
      </c>
      <c r="P19" s="7">
        <f t="shared" si="6"/>
        <v>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8">
        <f t="shared" si="0"/>
        <v>10.47</v>
      </c>
      <c r="BB19" s="8">
        <f t="shared" si="0"/>
        <v>24.14</v>
      </c>
      <c r="BC19" s="9">
        <f t="shared" si="5"/>
        <v>2.305635148042025</v>
      </c>
    </row>
    <row r="20" spans="1:55" x14ac:dyDescent="0.3">
      <c r="A20" s="6" t="s">
        <v>39</v>
      </c>
      <c r="B20" s="7">
        <v>0.88500000000000001</v>
      </c>
      <c r="C20" s="7">
        <v>0.46400000000000002</v>
      </c>
      <c r="D20" s="7">
        <f t="shared" si="1"/>
        <v>0.52429378531073445</v>
      </c>
      <c r="E20" s="7">
        <v>9.4420000000000002</v>
      </c>
      <c r="F20" s="7">
        <v>56.801000000000002</v>
      </c>
      <c r="G20" s="7">
        <f t="shared" si="2"/>
        <v>6.0157805549671677</v>
      </c>
      <c r="H20" s="7">
        <v>1.8460000000000001</v>
      </c>
      <c r="I20" s="7">
        <v>1.41</v>
      </c>
      <c r="J20" s="7">
        <f t="shared" si="3"/>
        <v>0.7638136511375947</v>
      </c>
      <c r="K20" s="7">
        <v>1.9410000000000001</v>
      </c>
      <c r="L20" s="7">
        <v>9.9760000000000009</v>
      </c>
      <c r="M20" s="7">
        <f t="shared" si="4"/>
        <v>5.13961875321999</v>
      </c>
      <c r="N20" s="7">
        <v>0.28000000000000003</v>
      </c>
      <c r="O20" s="7">
        <v>1.1140000000000001</v>
      </c>
      <c r="P20" s="7">
        <f t="shared" si="6"/>
        <v>3.9785714285714286</v>
      </c>
      <c r="Q20" s="7"/>
      <c r="R20" s="7"/>
      <c r="S20" s="7"/>
      <c r="T20" s="7">
        <v>1.2E-2</v>
      </c>
      <c r="U20" s="7">
        <v>5.0999999999999997E-2</v>
      </c>
      <c r="V20" s="7">
        <f t="shared" si="7"/>
        <v>4.25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>
        <v>2.4359999999999999</v>
      </c>
      <c r="AM20" s="7">
        <v>5</v>
      </c>
      <c r="AN20" s="7">
        <f t="shared" si="13"/>
        <v>2.0525451559934318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8">
        <f t="shared" si="0"/>
        <v>16.841999999999999</v>
      </c>
      <c r="BB20" s="8">
        <f t="shared" si="0"/>
        <v>74.816000000000003</v>
      </c>
      <c r="BC20" s="9">
        <f t="shared" si="5"/>
        <v>4.4422277639235253</v>
      </c>
    </row>
    <row r="21" spans="1:55" x14ac:dyDescent="0.3">
      <c r="A21" s="6" t="s">
        <v>40</v>
      </c>
      <c r="B21" s="7">
        <v>0.05</v>
      </c>
      <c r="C21" s="7">
        <v>8.6E-3</v>
      </c>
      <c r="D21" s="7">
        <f t="shared" si="1"/>
        <v>0.17199999999999999</v>
      </c>
      <c r="E21" s="7">
        <v>6.5</v>
      </c>
      <c r="F21" s="7">
        <v>37</v>
      </c>
      <c r="G21" s="7">
        <f t="shared" si="2"/>
        <v>5.6923076923076925</v>
      </c>
      <c r="H21" s="7">
        <v>8.0190000000000001</v>
      </c>
      <c r="I21" s="7">
        <v>48.472999999999999</v>
      </c>
      <c r="J21" s="7">
        <f t="shared" si="3"/>
        <v>6.0447686743983038</v>
      </c>
      <c r="K21" s="7">
        <v>4.78</v>
      </c>
      <c r="L21" s="7">
        <v>23.9</v>
      </c>
      <c r="M21" s="7">
        <f t="shared" si="4"/>
        <v>4.9999999999999991</v>
      </c>
      <c r="N21" s="7">
        <v>1.3</v>
      </c>
      <c r="O21" s="7">
        <v>5.6</v>
      </c>
      <c r="P21" s="7">
        <f t="shared" si="6"/>
        <v>4.3076923076923075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8">
        <f t="shared" si="0"/>
        <v>20.649000000000001</v>
      </c>
      <c r="BB21" s="8">
        <f t="shared" si="0"/>
        <v>114.98159999999999</v>
      </c>
      <c r="BC21" s="9">
        <f t="shared" si="5"/>
        <v>5.568385878250762</v>
      </c>
    </row>
    <row r="22" spans="1:55" x14ac:dyDescent="0.3">
      <c r="A22" s="11" t="s">
        <v>41</v>
      </c>
      <c r="B22" s="7">
        <v>0.22500000000000001</v>
      </c>
      <c r="C22" s="7">
        <v>1.2E-2</v>
      </c>
      <c r="D22" s="7">
        <f t="shared" si="1"/>
        <v>5.333333333333333E-2</v>
      </c>
      <c r="E22" s="7">
        <v>5.32</v>
      </c>
      <c r="F22" s="7">
        <v>36</v>
      </c>
      <c r="G22" s="7">
        <f t="shared" si="2"/>
        <v>6.7669172932330826</v>
      </c>
      <c r="H22" s="7">
        <v>0.8</v>
      </c>
      <c r="I22" s="7">
        <v>1</v>
      </c>
      <c r="J22" s="7">
        <f t="shared" si="3"/>
        <v>1.25</v>
      </c>
      <c r="K22" s="7">
        <v>0.12</v>
      </c>
      <c r="L22" s="7">
        <v>0.5</v>
      </c>
      <c r="M22" s="7">
        <f t="shared" si="4"/>
        <v>4.166666666666667</v>
      </c>
      <c r="N22" s="7">
        <v>0.1</v>
      </c>
      <c r="O22" s="7">
        <v>0.154</v>
      </c>
      <c r="P22" s="7">
        <f t="shared" si="6"/>
        <v>1.5399999999999998</v>
      </c>
      <c r="Q22" s="7">
        <v>3.2</v>
      </c>
      <c r="R22" s="7">
        <v>1.5</v>
      </c>
      <c r="S22" s="7">
        <f t="shared" si="15"/>
        <v>0.46875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8">
        <f t="shared" si="0"/>
        <v>9.7650000000000006</v>
      </c>
      <c r="BB22" s="8">
        <f t="shared" si="0"/>
        <v>39.166000000000004</v>
      </c>
      <c r="BC22" s="9">
        <f t="shared" si="5"/>
        <v>4.0108550947260628</v>
      </c>
    </row>
    <row r="23" spans="1:55" x14ac:dyDescent="0.3">
      <c r="A23" s="6" t="s">
        <v>42</v>
      </c>
      <c r="B23" s="7"/>
      <c r="C23" s="7"/>
      <c r="D23" s="7"/>
      <c r="E23" s="7">
        <v>15.843999999999999</v>
      </c>
      <c r="F23" s="7">
        <v>35</v>
      </c>
      <c r="G23" s="7">
        <f t="shared" si="2"/>
        <v>2.2090381216864428</v>
      </c>
      <c r="H23" s="7">
        <v>75.599999999999994</v>
      </c>
      <c r="I23" s="7">
        <v>70</v>
      </c>
      <c r="J23" s="7">
        <f t="shared" si="3"/>
        <v>0.92592592592592604</v>
      </c>
      <c r="K23" s="7">
        <v>2.48</v>
      </c>
      <c r="L23" s="7">
        <v>36</v>
      </c>
      <c r="M23" s="7">
        <f t="shared" si="4"/>
        <v>14.516129032258064</v>
      </c>
      <c r="N23" s="7">
        <v>10.9</v>
      </c>
      <c r="O23" s="7">
        <v>35.5</v>
      </c>
      <c r="P23" s="7">
        <f t="shared" si="6"/>
        <v>3.2568807339449539</v>
      </c>
      <c r="Q23" s="7"/>
      <c r="R23" s="7"/>
      <c r="S23" s="7"/>
      <c r="T23" s="7">
        <v>19.100000000000001</v>
      </c>
      <c r="U23" s="7">
        <v>11</v>
      </c>
      <c r="V23" s="7">
        <f t="shared" si="7"/>
        <v>0.57591623036649209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8">
        <f t="shared" si="0"/>
        <v>123.92400000000001</v>
      </c>
      <c r="BB23" s="8">
        <f t="shared" si="0"/>
        <v>187.5</v>
      </c>
      <c r="BC23" s="9">
        <f t="shared" si="5"/>
        <v>1.5130241115522416</v>
      </c>
    </row>
    <row r="24" spans="1:55" x14ac:dyDescent="0.3">
      <c r="A24" s="11" t="s">
        <v>43</v>
      </c>
      <c r="B24" s="7">
        <v>1.0999999999999999E-2</v>
      </c>
      <c r="C24" s="7">
        <v>8.0000000000000002E-3</v>
      </c>
      <c r="D24" s="7">
        <f t="shared" si="1"/>
        <v>0.72727272727272729</v>
      </c>
      <c r="E24" s="7"/>
      <c r="F24" s="7"/>
      <c r="G24" s="7"/>
      <c r="H24" s="7">
        <v>5.0000000000000001E-3</v>
      </c>
      <c r="I24" s="7">
        <v>5.0000000000000001E-3</v>
      </c>
      <c r="J24" s="7">
        <f t="shared" si="3"/>
        <v>1</v>
      </c>
      <c r="K24" s="7">
        <v>6.0000000000000001E-3</v>
      </c>
      <c r="L24" s="7">
        <v>8.0000000000000002E-3</v>
      </c>
      <c r="M24" s="7">
        <f t="shared" si="4"/>
        <v>1.3333333333333333</v>
      </c>
      <c r="N24" s="10"/>
      <c r="O24" s="1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>
        <v>6.4000000000000001E-2</v>
      </c>
      <c r="AV24" s="7">
        <v>9.4E-2</v>
      </c>
      <c r="AW24" s="7">
        <f t="shared" si="14"/>
        <v>1.46875</v>
      </c>
      <c r="AX24" s="7"/>
      <c r="AY24" s="7"/>
      <c r="AZ24" s="7"/>
      <c r="BA24" s="8">
        <f t="shared" si="0"/>
        <v>8.5999999999999993E-2</v>
      </c>
      <c r="BB24" s="8">
        <f t="shared" si="0"/>
        <v>0.115</v>
      </c>
      <c r="BC24" s="9">
        <f t="shared" si="5"/>
        <v>1.3372093023255816</v>
      </c>
    </row>
    <row r="25" spans="1:55" x14ac:dyDescent="0.3">
      <c r="A25" s="6" t="s">
        <v>44</v>
      </c>
      <c r="B25" s="7"/>
      <c r="C25" s="7"/>
      <c r="D25" s="7"/>
      <c r="E25" s="7"/>
      <c r="F25" s="7"/>
      <c r="G25" s="7"/>
      <c r="H25" s="7">
        <v>10.6</v>
      </c>
      <c r="I25" s="7">
        <v>17.7</v>
      </c>
      <c r="J25" s="7">
        <f t="shared" si="3"/>
        <v>1.6698113207547169</v>
      </c>
      <c r="K25" s="7"/>
      <c r="L25" s="7"/>
      <c r="M25" s="7"/>
      <c r="N25" s="7">
        <v>3.7</v>
      </c>
      <c r="O25" s="7">
        <v>45</v>
      </c>
      <c r="P25" s="7">
        <f t="shared" si="6"/>
        <v>12.162162162162161</v>
      </c>
      <c r="Q25" s="7"/>
      <c r="R25" s="7"/>
      <c r="S25" s="7"/>
      <c r="T25" s="7"/>
      <c r="U25" s="7"/>
      <c r="V25" s="7"/>
      <c r="W25" s="7"/>
      <c r="X25" s="7"/>
      <c r="Y25" s="7"/>
      <c r="Z25" s="10"/>
      <c r="AA25" s="10"/>
      <c r="AB25" s="7"/>
      <c r="AC25" s="7"/>
      <c r="AD25" s="7"/>
      <c r="AE25" s="7"/>
      <c r="AF25" s="7"/>
      <c r="AG25" s="7"/>
      <c r="AH25" s="7"/>
      <c r="AI25" s="7">
        <v>4.07</v>
      </c>
      <c r="AJ25" s="7">
        <v>5.51</v>
      </c>
      <c r="AK25" s="7">
        <f t="shared" ref="AK25:AK34" si="18">AJ25/AI25</f>
        <v>1.3538083538083536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8">
        <f t="shared" si="0"/>
        <v>18.37</v>
      </c>
      <c r="BB25" s="8">
        <f t="shared" si="0"/>
        <v>68.210000000000008</v>
      </c>
      <c r="BC25" s="9">
        <f t="shared" si="5"/>
        <v>3.7131192161132285</v>
      </c>
    </row>
    <row r="26" spans="1:55" x14ac:dyDescent="0.3">
      <c r="A26" s="6" t="s">
        <v>45</v>
      </c>
      <c r="B26" s="7"/>
      <c r="C26" s="7"/>
      <c r="D26" s="7"/>
      <c r="E26" s="7">
        <v>2.1000000000000001E-2</v>
      </c>
      <c r="F26" s="7">
        <v>6.2E-2</v>
      </c>
      <c r="G26" s="7">
        <f t="shared" si="2"/>
        <v>2.9523809523809521</v>
      </c>
      <c r="H26" s="7">
        <v>12.214</v>
      </c>
      <c r="I26" s="7">
        <v>17.704999999999998</v>
      </c>
      <c r="J26" s="7">
        <f t="shared" si="3"/>
        <v>1.4495660717209757</v>
      </c>
      <c r="K26" s="7">
        <v>0.20100000000000001</v>
      </c>
      <c r="L26" s="7">
        <v>0.43</v>
      </c>
      <c r="M26" s="7">
        <f t="shared" si="4"/>
        <v>2.1393034825870645</v>
      </c>
      <c r="N26" s="7">
        <v>59.445999999999998</v>
      </c>
      <c r="O26" s="7">
        <v>235.97900000000001</v>
      </c>
      <c r="P26" s="7">
        <f t="shared" si="6"/>
        <v>3.9696363085825794</v>
      </c>
      <c r="Q26" s="7"/>
      <c r="R26" s="7"/>
      <c r="S26" s="7"/>
      <c r="T26" s="7">
        <v>260</v>
      </c>
      <c r="U26" s="7">
        <v>311</v>
      </c>
      <c r="V26" s="7">
        <f t="shared" si="7"/>
        <v>1.1961538461538461</v>
      </c>
      <c r="W26" s="7">
        <v>220</v>
      </c>
      <c r="X26" s="7">
        <v>111</v>
      </c>
      <c r="Y26" s="7">
        <f t="shared" si="11"/>
        <v>0.50454545454545452</v>
      </c>
      <c r="Z26" s="7">
        <v>59.043999999999997</v>
      </c>
      <c r="AA26" s="7">
        <v>84.07</v>
      </c>
      <c r="AB26" s="7">
        <f t="shared" si="9"/>
        <v>1.4238533974662964</v>
      </c>
      <c r="AC26" s="7">
        <v>82.35</v>
      </c>
      <c r="AD26" s="7">
        <v>87.382000000000005</v>
      </c>
      <c r="AE26" s="7">
        <f t="shared" si="10"/>
        <v>1.0611050394656953</v>
      </c>
      <c r="AF26" s="7">
        <v>24.43</v>
      </c>
      <c r="AG26" s="7">
        <v>18.010999999999999</v>
      </c>
      <c r="AH26" s="7">
        <f t="shared" si="8"/>
        <v>0.73724928366762177</v>
      </c>
      <c r="AI26" s="7">
        <v>12.8</v>
      </c>
      <c r="AJ26" s="7">
        <v>6</v>
      </c>
      <c r="AK26" s="7">
        <f t="shared" si="18"/>
        <v>0.46875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8">
        <f t="shared" si="0"/>
        <v>730.50599999999997</v>
      </c>
      <c r="BB26" s="8">
        <f t="shared" si="0"/>
        <v>871.63900000000012</v>
      </c>
      <c r="BC26" s="9">
        <f t="shared" si="5"/>
        <v>1.1931989607203777</v>
      </c>
    </row>
    <row r="27" spans="1:55" x14ac:dyDescent="0.3">
      <c r="A27" s="6" t="s">
        <v>46</v>
      </c>
      <c r="B27" s="7"/>
      <c r="C27" s="7"/>
      <c r="D27" s="7"/>
      <c r="E27" s="7">
        <v>8.51</v>
      </c>
      <c r="F27" s="7">
        <v>48</v>
      </c>
      <c r="G27" s="7">
        <f t="shared" si="2"/>
        <v>5.64042303172738</v>
      </c>
      <c r="H27" s="7"/>
      <c r="I27" s="7"/>
      <c r="J27" s="7"/>
      <c r="K27" s="7">
        <v>0.85</v>
      </c>
      <c r="L27" s="7">
        <v>2.9</v>
      </c>
      <c r="M27" s="7">
        <f t="shared" si="4"/>
        <v>3.4117647058823528</v>
      </c>
      <c r="N27" s="7"/>
      <c r="O27" s="7"/>
      <c r="P27" s="7"/>
      <c r="Q27" s="7">
        <v>15.02</v>
      </c>
      <c r="R27" s="7">
        <v>3.51</v>
      </c>
      <c r="S27" s="7">
        <f t="shared" si="15"/>
        <v>0.23368841544607188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8">
        <f t="shared" si="0"/>
        <v>24.38</v>
      </c>
      <c r="BB27" s="8">
        <f t="shared" si="0"/>
        <v>54.41</v>
      </c>
      <c r="BC27" s="9">
        <f t="shared" si="5"/>
        <v>2.2317473338802296</v>
      </c>
    </row>
    <row r="28" spans="1:55" x14ac:dyDescent="0.3">
      <c r="A28" s="6" t="s">
        <v>47</v>
      </c>
      <c r="B28" s="7">
        <v>3.8359999999999999</v>
      </c>
      <c r="C28" s="7">
        <v>0.77500000000000002</v>
      </c>
      <c r="D28" s="7">
        <f t="shared" si="1"/>
        <v>0.20203336809176226</v>
      </c>
      <c r="E28" s="7">
        <v>0.46200000000000002</v>
      </c>
      <c r="F28" s="7">
        <v>7.0679999999999996</v>
      </c>
      <c r="G28" s="7">
        <f t="shared" si="2"/>
        <v>15.298701298701298</v>
      </c>
      <c r="H28" s="7">
        <v>58.603000000000002</v>
      </c>
      <c r="I28" s="7">
        <v>30.297999999999998</v>
      </c>
      <c r="J28" s="7">
        <f t="shared" si="3"/>
        <v>0.51700424892923569</v>
      </c>
      <c r="K28" s="7">
        <v>60.228000000000002</v>
      </c>
      <c r="L28" s="7">
        <v>326.13499999999999</v>
      </c>
      <c r="M28" s="7">
        <f t="shared" si="4"/>
        <v>5.4150063093577732</v>
      </c>
      <c r="N28" s="7">
        <v>0.443</v>
      </c>
      <c r="O28" s="7">
        <v>2.5590000000000002</v>
      </c>
      <c r="P28" s="7">
        <f t="shared" si="6"/>
        <v>5.7765237020316027</v>
      </c>
      <c r="Q28" s="7">
        <v>4.4189999999999996</v>
      </c>
      <c r="R28" s="7">
        <v>0.40200000000000002</v>
      </c>
      <c r="S28" s="7">
        <f t="shared" si="15"/>
        <v>9.097080787508488E-2</v>
      </c>
      <c r="T28" s="7">
        <v>10.885999999999999</v>
      </c>
      <c r="U28" s="7">
        <v>4.2130000000000001</v>
      </c>
      <c r="V28" s="7">
        <f t="shared" si="7"/>
        <v>0.38701083961050897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>
        <v>4.8000000000000001E-2</v>
      </c>
      <c r="AP28" s="7"/>
      <c r="AQ28" s="7">
        <f t="shared" si="16"/>
        <v>0</v>
      </c>
      <c r="AR28" s="7">
        <v>0.88300000000000001</v>
      </c>
      <c r="AS28" s="7">
        <v>0.83399999999999996</v>
      </c>
      <c r="AT28" s="7">
        <f t="shared" si="17"/>
        <v>0.94450736126840307</v>
      </c>
      <c r="AU28" s="7">
        <v>16.952999999999999</v>
      </c>
      <c r="AV28" s="7">
        <v>54.08</v>
      </c>
      <c r="AW28" s="7">
        <f t="shared" si="14"/>
        <v>3.1899958709372971</v>
      </c>
      <c r="AX28" s="7">
        <v>0.56999999999999995</v>
      </c>
      <c r="AY28" s="7">
        <v>1.7000000000000001E-2</v>
      </c>
      <c r="AZ28" s="7">
        <f t="shared" si="12"/>
        <v>2.9824561403508778E-2</v>
      </c>
      <c r="BA28" s="8">
        <f t="shared" si="0"/>
        <v>157.33100000000002</v>
      </c>
      <c r="BB28" s="8">
        <f t="shared" si="0"/>
        <v>426.38100000000003</v>
      </c>
      <c r="BC28" s="9">
        <f t="shared" si="5"/>
        <v>2.7100889208102661</v>
      </c>
    </row>
    <row r="29" spans="1:55" x14ac:dyDescent="0.3">
      <c r="A29" s="6" t="s">
        <v>48</v>
      </c>
      <c r="B29" s="7">
        <v>0.23899999999999999</v>
      </c>
      <c r="C29" s="7">
        <v>0.151</v>
      </c>
      <c r="D29" s="7">
        <f t="shared" si="1"/>
        <v>0.63179916317991636</v>
      </c>
      <c r="E29" s="7">
        <v>1.8</v>
      </c>
      <c r="F29" s="7">
        <v>7.5990000000000002</v>
      </c>
      <c r="G29" s="7">
        <f t="shared" si="2"/>
        <v>4.2216666666666667</v>
      </c>
      <c r="H29" s="7">
        <v>2.35</v>
      </c>
      <c r="I29" s="7">
        <v>3.7</v>
      </c>
      <c r="J29" s="7">
        <f t="shared" si="3"/>
        <v>1.574468085106383</v>
      </c>
      <c r="K29" s="7">
        <v>1.2949999999999999</v>
      </c>
      <c r="L29" s="7">
        <v>6.59</v>
      </c>
      <c r="M29" s="7">
        <f t="shared" si="4"/>
        <v>5.0888030888030888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8">
        <f t="shared" si="0"/>
        <v>5.6840000000000002</v>
      </c>
      <c r="BB29" s="8">
        <f t="shared" si="0"/>
        <v>18.04</v>
      </c>
      <c r="BC29" s="9">
        <f t="shared" si="5"/>
        <v>3.1738212526389864</v>
      </c>
    </row>
    <row r="30" spans="1:55" x14ac:dyDescent="0.3">
      <c r="A30" s="6" t="s">
        <v>49</v>
      </c>
      <c r="B30" s="7"/>
      <c r="C30" s="7"/>
      <c r="D30" s="7"/>
      <c r="E30" s="7">
        <v>0.84699999999999998</v>
      </c>
      <c r="F30" s="7">
        <v>2.4049999999999998</v>
      </c>
      <c r="G30" s="7">
        <f t="shared" si="2"/>
        <v>2.8394332939787486</v>
      </c>
      <c r="H30" s="7">
        <v>13.284000000000001</v>
      </c>
      <c r="I30" s="7">
        <v>11.026</v>
      </c>
      <c r="J30" s="7">
        <f t="shared" si="3"/>
        <v>0.83002107798855762</v>
      </c>
      <c r="K30" s="7">
        <v>2</v>
      </c>
      <c r="L30" s="7">
        <v>6</v>
      </c>
      <c r="M30" s="7">
        <f t="shared" si="4"/>
        <v>3</v>
      </c>
      <c r="N30" s="7">
        <v>34.427</v>
      </c>
      <c r="O30" s="7">
        <v>177.91900000000001</v>
      </c>
      <c r="P30" s="7">
        <f t="shared" si="6"/>
        <v>5.1680076683998033</v>
      </c>
      <c r="Q30" s="7"/>
      <c r="R30" s="7"/>
      <c r="S30" s="7"/>
      <c r="T30" s="7">
        <v>6.5110000000000001</v>
      </c>
      <c r="U30" s="7">
        <v>3.6070000000000002</v>
      </c>
      <c r="V30" s="7">
        <f t="shared" si="7"/>
        <v>0.55398556289356471</v>
      </c>
      <c r="W30" s="7">
        <v>2E-3</v>
      </c>
      <c r="X30" s="7">
        <v>5.0000000000000001E-3</v>
      </c>
      <c r="Y30" s="7">
        <f t="shared" si="11"/>
        <v>2.5</v>
      </c>
      <c r="Z30" s="7">
        <v>0.91</v>
      </c>
      <c r="AA30" s="7">
        <v>0.81899999999999995</v>
      </c>
      <c r="AB30" s="7">
        <f t="shared" si="9"/>
        <v>0.89999999999999991</v>
      </c>
      <c r="AC30" s="7">
        <v>0.30499999999999999</v>
      </c>
      <c r="AD30" s="7">
        <v>0.192</v>
      </c>
      <c r="AE30" s="7">
        <f t="shared" si="10"/>
        <v>0.62950819672131153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8">
        <f t="shared" si="0"/>
        <v>58.286000000000001</v>
      </c>
      <c r="BB30" s="8">
        <f t="shared" si="0"/>
        <v>201.97300000000001</v>
      </c>
      <c r="BC30" s="9">
        <f t="shared" si="5"/>
        <v>3.4652060529115056</v>
      </c>
    </row>
    <row r="31" spans="1:55" x14ac:dyDescent="0.3">
      <c r="A31" s="6" t="s">
        <v>50</v>
      </c>
      <c r="B31" s="7"/>
      <c r="C31" s="7"/>
      <c r="D31" s="7"/>
      <c r="E31" s="7">
        <v>1.4</v>
      </c>
      <c r="F31" s="7">
        <v>11.84</v>
      </c>
      <c r="G31" s="7">
        <f t="shared" si="2"/>
        <v>8.4571428571428573</v>
      </c>
      <c r="H31" s="7">
        <v>2</v>
      </c>
      <c r="I31" s="7">
        <v>7.2</v>
      </c>
      <c r="J31" s="7">
        <f t="shared" si="3"/>
        <v>3.6</v>
      </c>
      <c r="K31" s="7">
        <v>0.7</v>
      </c>
      <c r="L31" s="7">
        <v>6.1</v>
      </c>
      <c r="M31" s="7">
        <f t="shared" si="4"/>
        <v>8.7142857142857135</v>
      </c>
      <c r="N31" s="7">
        <v>1.2</v>
      </c>
      <c r="O31" s="7">
        <v>7.22</v>
      </c>
      <c r="P31" s="7">
        <f t="shared" si="6"/>
        <v>6.0166666666666666</v>
      </c>
      <c r="Q31" s="7"/>
      <c r="R31" s="7"/>
      <c r="S31" s="7"/>
      <c r="T31" s="7">
        <v>0.90400000000000003</v>
      </c>
      <c r="U31" s="7">
        <v>3.8</v>
      </c>
      <c r="V31" s="7">
        <f t="shared" si="7"/>
        <v>4.2035398230088497</v>
      </c>
      <c r="W31" s="7"/>
      <c r="X31" s="7"/>
      <c r="Y31" s="7"/>
      <c r="Z31" s="7"/>
      <c r="AA31" s="7"/>
      <c r="AB31" s="7"/>
      <c r="AC31" s="7">
        <v>0.4</v>
      </c>
      <c r="AD31" s="7">
        <v>2.61</v>
      </c>
      <c r="AE31" s="7">
        <f t="shared" si="10"/>
        <v>6.5249999999999995</v>
      </c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8">
        <f t="shared" si="0"/>
        <v>6.6040000000000001</v>
      </c>
      <c r="BB31" s="8">
        <f t="shared" si="0"/>
        <v>38.769999999999996</v>
      </c>
      <c r="BC31" s="9">
        <f t="shared" si="5"/>
        <v>5.8706844336765593</v>
      </c>
    </row>
    <row r="32" spans="1:55" x14ac:dyDescent="0.3">
      <c r="A32" s="6" t="s">
        <v>51</v>
      </c>
      <c r="B32" s="7"/>
      <c r="C32" s="7"/>
      <c r="D32" s="7"/>
      <c r="E32" s="7">
        <v>11.5</v>
      </c>
      <c r="F32" s="7">
        <v>25</v>
      </c>
      <c r="G32" s="7">
        <f t="shared" si="2"/>
        <v>2.1739130434782608</v>
      </c>
      <c r="H32" s="7">
        <v>63.6</v>
      </c>
      <c r="I32" s="7">
        <v>100</v>
      </c>
      <c r="J32" s="7">
        <f t="shared" si="3"/>
        <v>1.5723270440251571</v>
      </c>
      <c r="K32" s="7">
        <v>15.8</v>
      </c>
      <c r="L32" s="7">
        <v>42</v>
      </c>
      <c r="M32" s="7">
        <f t="shared" si="4"/>
        <v>2.6582278481012658</v>
      </c>
      <c r="N32" s="7">
        <v>3.35</v>
      </c>
      <c r="O32" s="7">
        <v>40</v>
      </c>
      <c r="P32" s="7">
        <f t="shared" si="6"/>
        <v>11.940298507462686</v>
      </c>
      <c r="Q32" s="7">
        <v>2.8740000000000001</v>
      </c>
      <c r="R32" s="7">
        <v>0.70399999999999996</v>
      </c>
      <c r="S32" s="7">
        <f t="shared" si="15"/>
        <v>0.24495476687543491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8">
        <f t="shared" si="0"/>
        <v>97.123999999999981</v>
      </c>
      <c r="BB32" s="8">
        <f t="shared" si="0"/>
        <v>207.70400000000001</v>
      </c>
      <c r="BC32" s="9">
        <f t="shared" si="5"/>
        <v>2.1385445409991357</v>
      </c>
    </row>
    <row r="33" spans="1:55" x14ac:dyDescent="0.3">
      <c r="A33" s="6"/>
      <c r="B33" s="7"/>
      <c r="C33" s="7"/>
      <c r="D33" s="7"/>
      <c r="E33" s="7"/>
      <c r="F33" s="7"/>
      <c r="G33" s="7"/>
      <c r="H33" s="10"/>
      <c r="I33" s="1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9"/>
    </row>
    <row r="34" spans="1:55" s="111" customFormat="1" x14ac:dyDescent="0.3">
      <c r="A34" s="6" t="s">
        <v>52</v>
      </c>
      <c r="B34" s="120">
        <f>SUM(B3:B33)</f>
        <v>200.27900000000002</v>
      </c>
      <c r="C34" s="177">
        <f t="shared" ref="C34:BB34" si="19">SUM(C3:C33)</f>
        <v>40.621680000000005</v>
      </c>
      <c r="D34" s="197">
        <f t="shared" si="1"/>
        <v>0.20282545848541284</v>
      </c>
      <c r="E34" s="120">
        <f t="shared" si="19"/>
        <v>155.06299999999999</v>
      </c>
      <c r="F34" s="112">
        <f t="shared" si="19"/>
        <v>755.6178000000001</v>
      </c>
      <c r="G34" s="131">
        <f t="shared" si="2"/>
        <v>4.8729729206838517</v>
      </c>
      <c r="H34" s="120">
        <f t="shared" si="19"/>
        <v>804.79200000000003</v>
      </c>
      <c r="I34" s="112">
        <f t="shared" si="19"/>
        <v>1276.3008000000002</v>
      </c>
      <c r="J34" s="131">
        <f t="shared" si="3"/>
        <v>1.585876599170966</v>
      </c>
      <c r="K34" s="120">
        <f t="shared" si="19"/>
        <v>218.64599999999999</v>
      </c>
      <c r="L34" s="112">
        <f t="shared" si="19"/>
        <v>1166.8431999999996</v>
      </c>
      <c r="M34" s="131">
        <f t="shared" si="4"/>
        <v>5.3366775518417882</v>
      </c>
      <c r="N34" s="120">
        <f t="shared" si="19"/>
        <v>242.49099999999999</v>
      </c>
      <c r="O34" s="112">
        <f t="shared" si="19"/>
        <v>1228.3237000000001</v>
      </c>
      <c r="P34" s="131">
        <f t="shared" si="6"/>
        <v>5.0654403668589767</v>
      </c>
      <c r="Q34" s="186">
        <f t="shared" si="19"/>
        <v>89.005999999999986</v>
      </c>
      <c r="R34" s="196">
        <f t="shared" si="19"/>
        <v>15.815999999999999</v>
      </c>
      <c r="S34" s="110">
        <f t="shared" si="15"/>
        <v>0.17769588567062897</v>
      </c>
      <c r="T34" s="120">
        <f t="shared" si="19"/>
        <v>557.86999999999989</v>
      </c>
      <c r="U34" s="112">
        <f t="shared" si="19"/>
        <v>532.94699999999989</v>
      </c>
      <c r="V34" s="110">
        <f t="shared" si="7"/>
        <v>0.95532471722802803</v>
      </c>
      <c r="W34" s="120">
        <f t="shared" si="19"/>
        <v>593.9799999999999</v>
      </c>
      <c r="X34" s="112">
        <f t="shared" si="19"/>
        <v>394.32800000000003</v>
      </c>
      <c r="Y34" s="110">
        <f t="shared" si="11"/>
        <v>0.66387420451867085</v>
      </c>
      <c r="Z34" s="186">
        <f t="shared" si="19"/>
        <v>99.554000000000002</v>
      </c>
      <c r="AA34" s="177">
        <f t="shared" si="19"/>
        <v>142.94899999999998</v>
      </c>
      <c r="AB34" s="131">
        <f t="shared" si="9"/>
        <v>1.4358940876308333</v>
      </c>
      <c r="AC34" s="186">
        <f t="shared" si="19"/>
        <v>93.605000000000004</v>
      </c>
      <c r="AD34" s="177">
        <f t="shared" si="19"/>
        <v>115.929</v>
      </c>
      <c r="AE34" s="110">
        <f t="shared" si="10"/>
        <v>1.2384915335719247</v>
      </c>
      <c r="AF34" s="186">
        <f t="shared" si="19"/>
        <v>35.375999999999998</v>
      </c>
      <c r="AG34" s="177">
        <f t="shared" si="19"/>
        <v>26.777999999999999</v>
      </c>
      <c r="AH34" s="110">
        <f t="shared" si="8"/>
        <v>0.75695386702849388</v>
      </c>
      <c r="AI34" s="206">
        <f t="shared" si="19"/>
        <v>33.47</v>
      </c>
      <c r="AJ34" s="177">
        <f t="shared" si="19"/>
        <v>32.642000000000003</v>
      </c>
      <c r="AK34" s="110">
        <f t="shared" si="18"/>
        <v>0.97526142814460726</v>
      </c>
      <c r="AL34" s="206">
        <f t="shared" si="19"/>
        <v>2.944</v>
      </c>
      <c r="AM34" s="196">
        <f t="shared" si="19"/>
        <v>5.0350000000000001</v>
      </c>
      <c r="AN34" s="131">
        <f t="shared" si="13"/>
        <v>1.7102581521739131</v>
      </c>
      <c r="AO34" s="206">
        <f t="shared" si="19"/>
        <v>17.484999999999996</v>
      </c>
      <c r="AP34" s="196">
        <f t="shared" si="19"/>
        <v>12.573510000000001</v>
      </c>
      <c r="AQ34" s="110">
        <f t="shared" si="16"/>
        <v>0.71910265942236218</v>
      </c>
      <c r="AR34" s="206">
        <f t="shared" si="19"/>
        <v>2.387</v>
      </c>
      <c r="AS34" s="196">
        <f t="shared" si="19"/>
        <v>1.1051</v>
      </c>
      <c r="AT34" s="110">
        <f t="shared" si="17"/>
        <v>0.46296606619187264</v>
      </c>
      <c r="AU34" s="186">
        <f t="shared" si="19"/>
        <v>58.427999999999997</v>
      </c>
      <c r="AV34" s="112">
        <f t="shared" si="19"/>
        <v>202.57400000000001</v>
      </c>
      <c r="AW34" s="131">
        <f t="shared" si="14"/>
        <v>3.4670705825973851</v>
      </c>
      <c r="AX34" s="206">
        <f t="shared" si="19"/>
        <v>7.0950000000000006</v>
      </c>
      <c r="AY34" s="196">
        <f t="shared" si="19"/>
        <v>1.0742099999999999</v>
      </c>
      <c r="AZ34" s="110">
        <f t="shared" si="12"/>
        <v>0.15140380549682872</v>
      </c>
      <c r="BA34" s="13">
        <f t="shared" si="19"/>
        <v>3212.471</v>
      </c>
      <c r="BB34" s="13">
        <f t="shared" si="19"/>
        <v>5951.4579999999996</v>
      </c>
      <c r="BC34" s="9">
        <f t="shared" si="5"/>
        <v>1.8526106539171869</v>
      </c>
    </row>
  </sheetData>
  <mergeCells count="18">
    <mergeCell ref="Q1:R1"/>
    <mergeCell ref="B1:C1"/>
    <mergeCell ref="E1:F1"/>
    <mergeCell ref="H1:I1"/>
    <mergeCell ref="K1:L1"/>
    <mergeCell ref="N1:O1"/>
    <mergeCell ref="BA1:BB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0FB6-F51F-4A15-97EC-A2A8FE025EBA}">
  <dimension ref="A1:BK34"/>
  <sheetViews>
    <sheetView topLeftCell="AK16" workbookViewId="0">
      <selection activeCell="BF32" sqref="BF32"/>
    </sheetView>
  </sheetViews>
  <sheetFormatPr defaultRowHeight="14.4" x14ac:dyDescent="0.3"/>
  <cols>
    <col min="1" max="1" width="8" bestFit="1" customWidth="1"/>
    <col min="2" max="2" width="29.21875" bestFit="1" customWidth="1"/>
    <col min="62" max="62" width="10.21875" bestFit="1" customWidth="1"/>
  </cols>
  <sheetData>
    <row r="1" spans="1:63" ht="16.8" x14ac:dyDescent="0.3">
      <c r="A1" s="142" t="s">
        <v>83</v>
      </c>
      <c r="B1" s="142" t="s">
        <v>54</v>
      </c>
      <c r="C1" s="220" t="s">
        <v>84</v>
      </c>
      <c r="D1" s="220"/>
      <c r="E1" s="142"/>
      <c r="F1" s="220" t="s">
        <v>59</v>
      </c>
      <c r="G1" s="220"/>
      <c r="H1" s="142"/>
      <c r="I1" s="220" t="s">
        <v>85</v>
      </c>
      <c r="J1" s="220"/>
      <c r="K1" s="142"/>
      <c r="L1" s="220" t="s">
        <v>61</v>
      </c>
      <c r="M1" s="220"/>
      <c r="N1" s="142"/>
      <c r="O1" s="220" t="s">
        <v>62</v>
      </c>
      <c r="P1" s="220"/>
      <c r="Q1" s="142"/>
      <c r="R1" s="220" t="s">
        <v>63</v>
      </c>
      <c r="S1" s="220"/>
      <c r="T1" s="142"/>
      <c r="U1" s="220" t="s">
        <v>64</v>
      </c>
      <c r="V1" s="220"/>
      <c r="W1" s="142"/>
      <c r="X1" s="220" t="s">
        <v>65</v>
      </c>
      <c r="Y1" s="220"/>
      <c r="Z1" s="220"/>
      <c r="AA1" s="142"/>
      <c r="AB1" s="220" t="s">
        <v>66</v>
      </c>
      <c r="AC1" s="220"/>
      <c r="AD1" s="142"/>
      <c r="AE1" s="220" t="s">
        <v>67</v>
      </c>
      <c r="AF1" s="220"/>
      <c r="AG1" s="142"/>
      <c r="AH1" s="220" t="s">
        <v>68</v>
      </c>
      <c r="AI1" s="220"/>
      <c r="AJ1" s="142"/>
      <c r="AK1" s="219" t="s">
        <v>77</v>
      </c>
      <c r="AL1" s="219"/>
      <c r="AM1" s="143"/>
      <c r="AN1" s="219" t="s">
        <v>70</v>
      </c>
      <c r="AO1" s="219"/>
      <c r="AP1" s="143"/>
      <c r="AQ1" s="220" t="s">
        <v>71</v>
      </c>
      <c r="AR1" s="220"/>
      <c r="AS1" s="142"/>
      <c r="AT1" s="220" t="s">
        <v>72</v>
      </c>
      <c r="AU1" s="220"/>
      <c r="AV1" s="142"/>
      <c r="AW1" s="220" t="s">
        <v>73</v>
      </c>
      <c r="AX1" s="220"/>
      <c r="AY1" s="168"/>
      <c r="AZ1" s="221" t="s">
        <v>81</v>
      </c>
      <c r="BA1" s="222"/>
      <c r="BB1" s="169"/>
      <c r="BC1" s="221" t="s">
        <v>82</v>
      </c>
      <c r="BD1" s="222"/>
      <c r="BE1" s="169"/>
      <c r="BF1" s="221" t="s">
        <v>80</v>
      </c>
      <c r="BG1" s="222"/>
      <c r="BH1" s="144"/>
      <c r="BI1" s="223" t="s">
        <v>52</v>
      </c>
      <c r="BJ1" s="223"/>
    </row>
    <row r="2" spans="1:63" ht="16.8" x14ac:dyDescent="0.3">
      <c r="A2" s="142"/>
      <c r="B2" s="142"/>
      <c r="C2" s="142" t="s">
        <v>19</v>
      </c>
      <c r="D2" s="142" t="s">
        <v>20</v>
      </c>
      <c r="E2" s="142" t="s">
        <v>21</v>
      </c>
      <c r="F2" s="142" t="s">
        <v>19</v>
      </c>
      <c r="G2" s="142" t="s">
        <v>20</v>
      </c>
      <c r="H2" s="142" t="s">
        <v>21</v>
      </c>
      <c r="I2" s="142" t="s">
        <v>19</v>
      </c>
      <c r="J2" s="142" t="s">
        <v>20</v>
      </c>
      <c r="K2" s="142" t="s">
        <v>21</v>
      </c>
      <c r="L2" s="142" t="s">
        <v>19</v>
      </c>
      <c r="M2" s="142" t="s">
        <v>20</v>
      </c>
      <c r="N2" s="142" t="s">
        <v>21</v>
      </c>
      <c r="O2" s="142" t="s">
        <v>19</v>
      </c>
      <c r="P2" s="142" t="s">
        <v>20</v>
      </c>
      <c r="Q2" s="142" t="s">
        <v>21</v>
      </c>
      <c r="R2" s="142" t="s">
        <v>19</v>
      </c>
      <c r="S2" s="142" t="s">
        <v>20</v>
      </c>
      <c r="T2" s="142" t="s">
        <v>21</v>
      </c>
      <c r="U2" s="142" t="s">
        <v>19</v>
      </c>
      <c r="V2" s="142" t="s">
        <v>20</v>
      </c>
      <c r="W2" s="142" t="s">
        <v>21</v>
      </c>
      <c r="X2" s="142" t="s">
        <v>19</v>
      </c>
      <c r="Y2" s="142" t="s">
        <v>21</v>
      </c>
      <c r="Z2" s="142" t="s">
        <v>20</v>
      </c>
      <c r="AA2" s="142" t="s">
        <v>21</v>
      </c>
      <c r="AB2" s="142" t="s">
        <v>19</v>
      </c>
      <c r="AC2" s="142" t="s">
        <v>20</v>
      </c>
      <c r="AD2" s="142" t="s">
        <v>21</v>
      </c>
      <c r="AE2" s="142" t="s">
        <v>19</v>
      </c>
      <c r="AF2" s="142" t="s">
        <v>20</v>
      </c>
      <c r="AG2" s="142" t="s">
        <v>21</v>
      </c>
      <c r="AH2" s="142" t="s">
        <v>19</v>
      </c>
      <c r="AI2" s="142" t="s">
        <v>20</v>
      </c>
      <c r="AJ2" s="142" t="s">
        <v>21</v>
      </c>
      <c r="AK2" s="142" t="s">
        <v>19</v>
      </c>
      <c r="AL2" s="142" t="s">
        <v>20</v>
      </c>
      <c r="AM2" s="142" t="s">
        <v>21</v>
      </c>
      <c r="AN2" s="142" t="s">
        <v>19</v>
      </c>
      <c r="AO2" s="142" t="s">
        <v>20</v>
      </c>
      <c r="AP2" s="142" t="s">
        <v>21</v>
      </c>
      <c r="AQ2" s="142" t="s">
        <v>19</v>
      </c>
      <c r="AR2" s="142" t="s">
        <v>20</v>
      </c>
      <c r="AS2" s="142" t="s">
        <v>21</v>
      </c>
      <c r="AT2" s="142" t="s">
        <v>19</v>
      </c>
      <c r="AU2" s="142" t="s">
        <v>20</v>
      </c>
      <c r="AV2" s="142" t="s">
        <v>21</v>
      </c>
      <c r="AW2" s="142" t="s">
        <v>19</v>
      </c>
      <c r="AX2" s="142" t="s">
        <v>20</v>
      </c>
      <c r="AY2" s="142" t="s">
        <v>21</v>
      </c>
      <c r="AZ2" s="145" t="s">
        <v>19</v>
      </c>
      <c r="BA2" s="145" t="s">
        <v>20</v>
      </c>
      <c r="BB2" s="145" t="s">
        <v>21</v>
      </c>
      <c r="BC2" s="145" t="s">
        <v>19</v>
      </c>
      <c r="BD2" s="145" t="s">
        <v>20</v>
      </c>
      <c r="BE2" s="145" t="s">
        <v>21</v>
      </c>
      <c r="BF2" s="145" t="s">
        <v>19</v>
      </c>
      <c r="BG2" s="145" t="s">
        <v>20</v>
      </c>
      <c r="BH2" s="145" t="s">
        <v>21</v>
      </c>
      <c r="BI2" s="145" t="s">
        <v>19</v>
      </c>
      <c r="BJ2" s="145" t="s">
        <v>20</v>
      </c>
      <c r="BK2" s="170" t="s">
        <v>21</v>
      </c>
    </row>
    <row r="3" spans="1:63" ht="16.8" x14ac:dyDescent="0.3">
      <c r="A3" s="146">
        <v>1</v>
      </c>
      <c r="B3" s="147" t="s">
        <v>23</v>
      </c>
      <c r="C3" s="148">
        <v>0.89</v>
      </c>
      <c r="D3" s="148">
        <v>0.53100000000000003</v>
      </c>
      <c r="E3" s="148">
        <f>D3/C3</f>
        <v>0.59662921348314613</v>
      </c>
      <c r="F3" s="149">
        <v>0.45900000000000002</v>
      </c>
      <c r="G3" s="149">
        <v>3.9990000000000001</v>
      </c>
      <c r="H3" s="149">
        <f>G3/F3</f>
        <v>8.712418300653594</v>
      </c>
      <c r="I3" s="149">
        <v>177.45599999999999</v>
      </c>
      <c r="J3" s="149">
        <v>796.65300000000002</v>
      </c>
      <c r="K3" s="149">
        <f>J3/I3</f>
        <v>4.489298755747904</v>
      </c>
      <c r="L3" s="149">
        <v>30.518000000000001</v>
      </c>
      <c r="M3" s="149">
        <v>73.244</v>
      </c>
      <c r="N3" s="149">
        <f>M3/L3</f>
        <v>2.400026214037617</v>
      </c>
      <c r="O3" s="149"/>
      <c r="P3" s="149"/>
      <c r="Q3" s="149"/>
      <c r="R3" s="148"/>
      <c r="S3" s="148">
        <v>0</v>
      </c>
      <c r="T3" s="148"/>
      <c r="U3" s="150">
        <v>0.747</v>
      </c>
      <c r="V3" s="150">
        <v>0.70699999999999996</v>
      </c>
      <c r="W3" s="150">
        <f>V3/U3</f>
        <v>0.9464524765729585</v>
      </c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50">
        <v>3.3559999999999999</v>
      </c>
      <c r="AI3" s="150">
        <v>0.91700000000000004</v>
      </c>
      <c r="AJ3" s="150">
        <f>AI3/AH3</f>
        <v>0.27324195470798573</v>
      </c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>
        <v>3.6349999999999998</v>
      </c>
      <c r="AX3" s="148">
        <v>9.6280000000000001</v>
      </c>
      <c r="AY3" s="148">
        <f>AX3/AW3</f>
        <v>2.6486932599724899</v>
      </c>
      <c r="AZ3" s="148"/>
      <c r="BA3" s="148"/>
      <c r="BB3" s="148"/>
      <c r="BC3" s="148"/>
      <c r="BD3" s="148"/>
      <c r="BE3" s="148"/>
      <c r="BF3" s="148"/>
      <c r="BG3" s="148"/>
      <c r="BH3" s="148"/>
      <c r="BI3" s="151">
        <v>217.06099999999998</v>
      </c>
      <c r="BJ3" s="151">
        <v>885.67900000000009</v>
      </c>
      <c r="BK3">
        <f>BJ3/BI3</f>
        <v>4.0803230428312789</v>
      </c>
    </row>
    <row r="4" spans="1:63" ht="16.8" x14ac:dyDescent="0.3">
      <c r="A4" s="146">
        <v>2</v>
      </c>
      <c r="B4" s="152" t="s">
        <v>24</v>
      </c>
      <c r="C4" s="148">
        <v>0.10211000000000001</v>
      </c>
      <c r="D4" s="148">
        <v>0.15149000000000001</v>
      </c>
      <c r="E4" s="148">
        <f t="shared" ref="E4:E32" si="0">D4/C4</f>
        <v>1.4835961218293998</v>
      </c>
      <c r="F4" s="149">
        <v>3.2778800000000001</v>
      </c>
      <c r="G4" s="149">
        <v>13.383900000000001</v>
      </c>
      <c r="H4" s="149">
        <f t="shared" ref="H4:H32" si="1">G4/F4</f>
        <v>4.0830963915701615</v>
      </c>
      <c r="I4" s="149">
        <v>1.0623</v>
      </c>
      <c r="J4" s="149">
        <v>2.3772924999999998</v>
      </c>
      <c r="K4" s="149">
        <f t="shared" ref="K4:K32" si="2">J4/I4</f>
        <v>2.2378730113903793</v>
      </c>
      <c r="L4" s="149">
        <v>0.35289999999999999</v>
      </c>
      <c r="M4" s="149">
        <v>1.95235</v>
      </c>
      <c r="N4" s="149">
        <f t="shared" ref="N4:N32" si="3">M4/L4</f>
        <v>5.5323037687730237</v>
      </c>
      <c r="O4" s="149"/>
      <c r="P4" s="149"/>
      <c r="Q4" s="149"/>
      <c r="R4" s="148">
        <v>9.0666799999999999</v>
      </c>
      <c r="S4" s="148">
        <v>3.6225000000000001</v>
      </c>
      <c r="T4" s="148">
        <f t="shared" ref="T4:T32" si="4">S4/R4</f>
        <v>0.39953985361786232</v>
      </c>
      <c r="U4" s="153"/>
      <c r="V4" s="153"/>
      <c r="W4" s="150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50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51">
        <v>13.86187</v>
      </c>
      <c r="BJ4" s="151">
        <v>21.4875325</v>
      </c>
      <c r="BK4">
        <f t="shared" ref="BK4:BK32" si="5">BJ4/BI4</f>
        <v>1.5501178773138113</v>
      </c>
    </row>
    <row r="5" spans="1:63" ht="16.8" x14ac:dyDescent="0.3">
      <c r="A5" s="146">
        <v>3</v>
      </c>
      <c r="B5" s="147" t="s">
        <v>25</v>
      </c>
      <c r="C5" s="148">
        <v>4.0869999999999997</v>
      </c>
      <c r="D5" s="148">
        <v>3.0548100000000002</v>
      </c>
      <c r="E5" s="148">
        <f t="shared" si="0"/>
        <v>0.74744555908979704</v>
      </c>
      <c r="F5" s="149">
        <v>19.451000000000001</v>
      </c>
      <c r="G5" s="149">
        <v>185.95099999999999</v>
      </c>
      <c r="H5" s="149">
        <f t="shared" si="1"/>
        <v>9.5599712097064415</v>
      </c>
      <c r="I5" s="149">
        <v>20.459</v>
      </c>
      <c r="J5" s="149">
        <v>20.189</v>
      </c>
      <c r="K5" s="149">
        <f t="shared" si="2"/>
        <v>0.9868028740407645</v>
      </c>
      <c r="L5" s="149">
        <v>17.757000000000001</v>
      </c>
      <c r="M5" s="149">
        <v>24.664999999999999</v>
      </c>
      <c r="N5" s="149">
        <f t="shared" si="3"/>
        <v>1.3890296784366727</v>
      </c>
      <c r="O5" s="149">
        <v>10.765000000000001</v>
      </c>
      <c r="P5" s="149">
        <v>68.915999999999997</v>
      </c>
      <c r="Q5" s="149">
        <f>P5/O5</f>
        <v>6.4018578727357172</v>
      </c>
      <c r="R5" s="154"/>
      <c r="S5" s="154"/>
      <c r="T5" s="148"/>
      <c r="U5" s="150">
        <v>30.698</v>
      </c>
      <c r="V5" s="150">
        <v>35.762999999999998</v>
      </c>
      <c r="W5" s="150">
        <f t="shared" ref="W5:W32" si="6">V5/U5</f>
        <v>1.1649944621799464</v>
      </c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50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51">
        <v>103.21700000000001</v>
      </c>
      <c r="BJ5" s="151">
        <v>338.53880999999996</v>
      </c>
      <c r="BK5">
        <f t="shared" si="5"/>
        <v>3.2798745361713664</v>
      </c>
    </row>
    <row r="6" spans="1:63" ht="16.8" x14ac:dyDescent="0.3">
      <c r="A6" s="146">
        <v>4</v>
      </c>
      <c r="B6" s="147" t="s">
        <v>26</v>
      </c>
      <c r="C6" s="148"/>
      <c r="D6" s="148"/>
      <c r="E6" s="148"/>
      <c r="F6" s="149">
        <v>0.34</v>
      </c>
      <c r="G6" s="149">
        <v>2.9620000000000002</v>
      </c>
      <c r="H6" s="149">
        <f t="shared" si="1"/>
        <v>8.7117647058823522</v>
      </c>
      <c r="I6" s="149">
        <v>1.6220000000000001</v>
      </c>
      <c r="J6" s="149">
        <v>3.6520000000000001</v>
      </c>
      <c r="K6" s="149">
        <f t="shared" si="2"/>
        <v>2.2515413070283601</v>
      </c>
      <c r="L6" s="149">
        <v>2.7879999999999998</v>
      </c>
      <c r="M6" s="149">
        <v>2.8740000000000001</v>
      </c>
      <c r="N6" s="149">
        <f t="shared" si="3"/>
        <v>1.0308464849354377</v>
      </c>
      <c r="O6" s="149">
        <v>1.579</v>
      </c>
      <c r="P6" s="149">
        <v>2.6230000000000002</v>
      </c>
      <c r="Q6" s="149">
        <f t="shared" ref="Q6:Q32" si="7">P6/O6</f>
        <v>1.6611779607346424</v>
      </c>
      <c r="R6" s="154"/>
      <c r="S6" s="154"/>
      <c r="T6" s="148"/>
      <c r="U6" s="150">
        <v>2.2690000000000001</v>
      </c>
      <c r="V6" s="150">
        <v>2.0510000000000002</v>
      </c>
      <c r="W6" s="150">
        <f t="shared" si="6"/>
        <v>0.90392243278977524</v>
      </c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50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51">
        <v>8.597999999999999</v>
      </c>
      <c r="BJ6" s="151">
        <v>14.162000000000001</v>
      </c>
      <c r="BK6">
        <f t="shared" si="5"/>
        <v>1.647127238892766</v>
      </c>
    </row>
    <row r="7" spans="1:63" ht="16.8" x14ac:dyDescent="0.3">
      <c r="A7" s="146">
        <v>5</v>
      </c>
      <c r="B7" s="147" t="s">
        <v>53</v>
      </c>
      <c r="C7" s="148"/>
      <c r="D7" s="148"/>
      <c r="E7" s="148"/>
      <c r="F7" s="149">
        <v>2.0640000000000001</v>
      </c>
      <c r="G7" s="149">
        <v>8.4420000000000002</v>
      </c>
      <c r="H7" s="149">
        <f t="shared" si="1"/>
        <v>4.0901162790697674</v>
      </c>
      <c r="I7" s="149">
        <v>5.415</v>
      </c>
      <c r="J7" s="149">
        <v>3.2490000000000001</v>
      </c>
      <c r="K7" s="149">
        <f t="shared" si="2"/>
        <v>0.6</v>
      </c>
      <c r="L7" s="149">
        <v>1.4430000000000001</v>
      </c>
      <c r="M7" s="149">
        <v>1.157</v>
      </c>
      <c r="N7" s="149">
        <f t="shared" si="3"/>
        <v>0.80180180180180183</v>
      </c>
      <c r="O7" s="149">
        <v>1.573</v>
      </c>
      <c r="P7" s="149">
        <v>1.681</v>
      </c>
      <c r="Q7" s="149">
        <f t="shared" si="7"/>
        <v>1.0686586141131595</v>
      </c>
      <c r="R7" s="154"/>
      <c r="S7" s="154"/>
      <c r="T7" s="148"/>
      <c r="U7" s="150">
        <v>3.0190000000000001</v>
      </c>
      <c r="V7" s="150">
        <v>0.90500000000000003</v>
      </c>
      <c r="W7" s="150">
        <f t="shared" si="6"/>
        <v>0.29976813514408746</v>
      </c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50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51">
        <v>13.514000000000001</v>
      </c>
      <c r="BJ7" s="151">
        <v>15.433999999999999</v>
      </c>
      <c r="BK7">
        <f t="shared" si="5"/>
        <v>1.1420748853041289</v>
      </c>
    </row>
    <row r="8" spans="1:63" ht="16.8" x14ac:dyDescent="0.3">
      <c r="A8" s="146">
        <v>6</v>
      </c>
      <c r="B8" s="147" t="s">
        <v>29</v>
      </c>
      <c r="C8" s="148"/>
      <c r="D8" s="148"/>
      <c r="E8" s="148"/>
      <c r="F8" s="149">
        <v>5.069</v>
      </c>
      <c r="G8" s="149">
        <v>110.896</v>
      </c>
      <c r="H8" s="149">
        <f t="shared" si="1"/>
        <v>21.877293351745905</v>
      </c>
      <c r="I8" s="149">
        <v>11.93</v>
      </c>
      <c r="J8" s="149">
        <v>23.344999999999999</v>
      </c>
      <c r="K8" s="149">
        <f t="shared" si="2"/>
        <v>1.9568315171835708</v>
      </c>
      <c r="L8" s="149">
        <v>4.6920000000000002</v>
      </c>
      <c r="M8" s="149">
        <v>18.190999999999999</v>
      </c>
      <c r="N8" s="149">
        <f t="shared" si="3"/>
        <v>3.8770247229326511</v>
      </c>
      <c r="O8" s="149">
        <v>15.063000000000001</v>
      </c>
      <c r="P8" s="149">
        <v>118.218</v>
      </c>
      <c r="Q8" s="149">
        <f t="shared" si="7"/>
        <v>7.8482374029077873</v>
      </c>
      <c r="R8" s="154"/>
      <c r="S8" s="154"/>
      <c r="T8" s="148"/>
      <c r="U8" s="150">
        <v>141.221</v>
      </c>
      <c r="V8" s="150">
        <v>218.09299999999999</v>
      </c>
      <c r="W8" s="150">
        <f t="shared" si="6"/>
        <v>1.544338306625785</v>
      </c>
      <c r="X8" s="150">
        <v>475.19799999999998</v>
      </c>
      <c r="Y8" s="150">
        <f>X8/W8</f>
        <v>307.70330436098362</v>
      </c>
      <c r="Z8" s="150">
        <v>474.52300000000002</v>
      </c>
      <c r="AA8" s="150">
        <f>Z8/Y8</f>
        <v>1.5421446350257944</v>
      </c>
      <c r="AB8" s="150">
        <v>48.44</v>
      </c>
      <c r="AC8" s="150">
        <v>98.578000000000003</v>
      </c>
      <c r="AD8" s="150">
        <f>AC8/AB8</f>
        <v>2.0350536746490504</v>
      </c>
      <c r="AE8" s="150">
        <v>7.577</v>
      </c>
      <c r="AF8" s="150">
        <v>14.189</v>
      </c>
      <c r="AG8" s="150">
        <f>AF8/AE8</f>
        <v>1.8726408868945492</v>
      </c>
      <c r="AH8" s="150">
        <v>18.109000000000002</v>
      </c>
      <c r="AI8" s="150">
        <v>18.771999999999998</v>
      </c>
      <c r="AJ8" s="150">
        <f t="shared" ref="AJ8:AJ32" si="8">AI8/AH8</f>
        <v>1.0366116295764536</v>
      </c>
      <c r="AK8" s="150">
        <v>14.865</v>
      </c>
      <c r="AL8" s="150">
        <v>19.038</v>
      </c>
      <c r="AM8" s="150">
        <f>AL8/AK8</f>
        <v>1.2807265388496467</v>
      </c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51">
        <v>742.1640000000001</v>
      </c>
      <c r="BJ8" s="151">
        <v>1113.8430000000001</v>
      </c>
      <c r="BK8">
        <f t="shared" si="5"/>
        <v>1.5008044044173523</v>
      </c>
    </row>
    <row r="9" spans="1:63" ht="16.8" x14ac:dyDescent="0.3">
      <c r="A9" s="146">
        <v>7</v>
      </c>
      <c r="B9" s="147" t="s">
        <v>30</v>
      </c>
      <c r="C9" s="148"/>
      <c r="D9" s="148"/>
      <c r="E9" s="148"/>
      <c r="F9" s="149">
        <v>8.2000000000000003E-2</v>
      </c>
      <c r="G9" s="149">
        <v>0.75</v>
      </c>
      <c r="H9" s="149">
        <f t="shared" si="1"/>
        <v>9.1463414634146343</v>
      </c>
      <c r="I9" s="149"/>
      <c r="J9" s="149"/>
      <c r="K9" s="149"/>
      <c r="L9" s="149">
        <v>1.331</v>
      </c>
      <c r="M9" s="149">
        <v>3.0089999999999999</v>
      </c>
      <c r="N9" s="149">
        <f t="shared" si="3"/>
        <v>2.2607062359128474</v>
      </c>
      <c r="O9" s="149">
        <v>3.2040000000000002</v>
      </c>
      <c r="P9" s="149">
        <v>31.698</v>
      </c>
      <c r="Q9" s="149">
        <f t="shared" si="7"/>
        <v>9.8932584269662911</v>
      </c>
      <c r="R9" s="154"/>
      <c r="S9" s="154"/>
      <c r="T9" s="148"/>
      <c r="U9" s="150">
        <v>1.052</v>
      </c>
      <c r="V9" s="150">
        <v>1.5660000000000001</v>
      </c>
      <c r="W9" s="150">
        <f t="shared" si="6"/>
        <v>1.4885931558935361</v>
      </c>
      <c r="X9" s="153"/>
      <c r="Y9" s="150">
        <f t="shared" ref="Y9:Y32" si="9">X9/W9</f>
        <v>0</v>
      </c>
      <c r="Z9" s="153"/>
      <c r="AA9" s="150"/>
      <c r="AB9" s="150">
        <v>5.0999999999999997E-2</v>
      </c>
      <c r="AC9" s="150">
        <v>8.8999999999999996E-2</v>
      </c>
      <c r="AD9" s="150">
        <f t="shared" ref="AD9:AD32" si="10">AC9/AB9</f>
        <v>1.7450980392156863</v>
      </c>
      <c r="AE9" s="150">
        <v>0.90500000000000003</v>
      </c>
      <c r="AF9" s="150">
        <v>3.7749999999999999</v>
      </c>
      <c r="AG9" s="150">
        <f t="shared" ref="AG9:AG32" si="11">AF9/AE9</f>
        <v>4.1712707182320443</v>
      </c>
      <c r="AH9" s="148"/>
      <c r="AI9" s="148"/>
      <c r="AJ9" s="150"/>
      <c r="AK9" s="154"/>
      <c r="AL9" s="154"/>
      <c r="AM9" s="150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51">
        <v>6.6250000000000009</v>
      </c>
      <c r="BJ9" s="151">
        <v>40.887</v>
      </c>
      <c r="BK9">
        <f t="shared" si="5"/>
        <v>6.1716226415094333</v>
      </c>
    </row>
    <row r="10" spans="1:63" ht="16.8" x14ac:dyDescent="0.3">
      <c r="A10" s="146">
        <v>8</v>
      </c>
      <c r="B10" s="147" t="s">
        <v>31</v>
      </c>
      <c r="C10" s="148"/>
      <c r="D10" s="148"/>
      <c r="E10" s="148"/>
      <c r="F10" s="149">
        <v>2.5710000000000002</v>
      </c>
      <c r="G10" s="149">
        <v>15.291</v>
      </c>
      <c r="H10" s="149">
        <f t="shared" si="1"/>
        <v>5.9474912485414233</v>
      </c>
      <c r="I10" s="149">
        <v>0.64300000000000002</v>
      </c>
      <c r="J10" s="149">
        <v>0.39700000000000002</v>
      </c>
      <c r="K10" s="149">
        <f t="shared" si="2"/>
        <v>0.6174183514774495</v>
      </c>
      <c r="L10" s="149">
        <v>0.498</v>
      </c>
      <c r="M10" s="149">
        <v>0.81</v>
      </c>
      <c r="N10" s="149">
        <f t="shared" si="3"/>
        <v>1.6265060240963856</v>
      </c>
      <c r="O10" s="149">
        <v>6.5060000000000002</v>
      </c>
      <c r="P10" s="149">
        <v>12.7</v>
      </c>
      <c r="Q10" s="149">
        <f t="shared" si="7"/>
        <v>1.9520442668306177</v>
      </c>
      <c r="R10" s="154"/>
      <c r="S10" s="154"/>
      <c r="T10" s="148"/>
      <c r="U10" s="150">
        <v>0.159</v>
      </c>
      <c r="V10" s="150">
        <v>0.189</v>
      </c>
      <c r="W10" s="150">
        <f t="shared" si="6"/>
        <v>1.1886792452830188</v>
      </c>
      <c r="X10" s="150">
        <v>0.10299999999999999</v>
      </c>
      <c r="Y10" s="150">
        <f t="shared" si="9"/>
        <v>8.6650793650793645E-2</v>
      </c>
      <c r="Z10" s="150">
        <v>5.5E-2</v>
      </c>
      <c r="AA10" s="150">
        <f t="shared" ref="AA10:AA32" si="12">Z10/Y10</f>
        <v>0.63473163583073833</v>
      </c>
      <c r="AB10" s="148"/>
      <c r="AC10" s="148"/>
      <c r="AD10" s="150"/>
      <c r="AE10" s="150"/>
      <c r="AF10" s="150"/>
      <c r="AG10" s="150"/>
      <c r="AH10" s="148"/>
      <c r="AI10" s="148"/>
      <c r="AJ10" s="150"/>
      <c r="AK10" s="154"/>
      <c r="AL10" s="154"/>
      <c r="AM10" s="150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51">
        <v>10.48</v>
      </c>
      <c r="BJ10" s="151">
        <v>29.442</v>
      </c>
      <c r="BK10">
        <f t="shared" si="5"/>
        <v>2.8093511450381676</v>
      </c>
    </row>
    <row r="11" spans="1:63" ht="16.8" x14ac:dyDescent="0.3">
      <c r="A11" s="146">
        <v>9</v>
      </c>
      <c r="B11" s="147" t="s">
        <v>32</v>
      </c>
      <c r="C11" s="148"/>
      <c r="D11" s="148"/>
      <c r="E11" s="148"/>
      <c r="F11" s="148">
        <v>2.8000000000000001E-2</v>
      </c>
      <c r="G11" s="155">
        <v>5.2699999999999997E-2</v>
      </c>
      <c r="H11" s="149">
        <f t="shared" si="1"/>
        <v>1.8821428571428569</v>
      </c>
      <c r="I11" s="155">
        <v>0.66400000000000003</v>
      </c>
      <c r="J11" s="155">
        <v>0.55089999999999995</v>
      </c>
      <c r="K11" s="149">
        <f t="shared" si="2"/>
        <v>0.82966867469879502</v>
      </c>
      <c r="L11" s="148">
        <v>1.2E-2</v>
      </c>
      <c r="M11" s="148">
        <v>1.14E-2</v>
      </c>
      <c r="N11" s="149">
        <f t="shared" si="3"/>
        <v>0.95000000000000007</v>
      </c>
      <c r="O11" s="155">
        <v>0.70799999999999996</v>
      </c>
      <c r="P11" s="155">
        <v>0.57189999999999996</v>
      </c>
      <c r="Q11" s="149">
        <f t="shared" si="7"/>
        <v>0.80776836158192089</v>
      </c>
      <c r="R11" s="154"/>
      <c r="S11" s="154"/>
      <c r="T11" s="148"/>
      <c r="U11" s="153"/>
      <c r="V11" s="153"/>
      <c r="W11" s="150"/>
      <c r="X11" s="156"/>
      <c r="Y11" s="150"/>
      <c r="Z11" s="156"/>
      <c r="AA11" s="150"/>
      <c r="AB11" s="148"/>
      <c r="AC11" s="148"/>
      <c r="AD11" s="150"/>
      <c r="AE11" s="150"/>
      <c r="AF11" s="150"/>
      <c r="AG11" s="150"/>
      <c r="AH11" s="148"/>
      <c r="AI11" s="148"/>
      <c r="AJ11" s="150"/>
      <c r="AK11" s="154"/>
      <c r="AL11" s="154"/>
      <c r="AM11" s="150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>
        <v>3.657</v>
      </c>
      <c r="BA11" s="148">
        <v>3.5999999999999999E-3</v>
      </c>
      <c r="BB11" s="148">
        <f>BA11/AZ11</f>
        <v>9.8441345365053311E-4</v>
      </c>
      <c r="BC11" s="148"/>
      <c r="BD11" s="148"/>
      <c r="BE11" s="148"/>
      <c r="BF11" s="148"/>
      <c r="BG11" s="148"/>
      <c r="BH11" s="148"/>
      <c r="BI11" s="151">
        <v>5.069</v>
      </c>
      <c r="BJ11" s="151">
        <v>1.1904999999999999</v>
      </c>
      <c r="BK11">
        <f t="shared" si="5"/>
        <v>0.23485894653777864</v>
      </c>
    </row>
    <row r="12" spans="1:63" ht="16.8" x14ac:dyDescent="0.3">
      <c r="A12" s="146">
        <v>10</v>
      </c>
      <c r="B12" s="147" t="s">
        <v>33</v>
      </c>
      <c r="C12" s="148"/>
      <c r="D12" s="148"/>
      <c r="E12" s="148"/>
      <c r="F12" s="148"/>
      <c r="G12" s="155"/>
      <c r="H12" s="149"/>
      <c r="I12" s="155"/>
      <c r="J12" s="155"/>
      <c r="K12" s="149"/>
      <c r="L12" s="148"/>
      <c r="M12" s="148"/>
      <c r="N12" s="149"/>
      <c r="O12" s="155"/>
      <c r="P12" s="155"/>
      <c r="Q12" s="149"/>
      <c r="R12" s="148"/>
      <c r="S12" s="148"/>
      <c r="T12" s="148"/>
      <c r="U12" s="150"/>
      <c r="V12" s="150"/>
      <c r="W12" s="150"/>
      <c r="X12" s="150"/>
      <c r="Y12" s="150"/>
      <c r="Z12" s="150"/>
      <c r="AA12" s="150"/>
      <c r="AB12" s="148"/>
      <c r="AC12" s="148"/>
      <c r="AD12" s="150"/>
      <c r="AE12" s="150"/>
      <c r="AF12" s="150"/>
      <c r="AG12" s="150"/>
      <c r="AH12" s="148"/>
      <c r="AI12" s="148"/>
      <c r="AJ12" s="150"/>
      <c r="AK12" s="148"/>
      <c r="AL12" s="148"/>
      <c r="AM12" s="150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51">
        <v>0</v>
      </c>
      <c r="BJ12" s="151">
        <v>0</v>
      </c>
      <c r="BK12" t="e">
        <f t="shared" si="5"/>
        <v>#DIV/0!</v>
      </c>
    </row>
    <row r="13" spans="1:63" ht="16.8" x14ac:dyDescent="0.3">
      <c r="A13" s="146">
        <v>11</v>
      </c>
      <c r="B13" s="147" t="s">
        <v>34</v>
      </c>
      <c r="C13" s="148">
        <v>211.49700000000001</v>
      </c>
      <c r="D13" s="148">
        <v>99.622399999999999</v>
      </c>
      <c r="E13" s="148">
        <f t="shared" si="0"/>
        <v>0.47103457732260973</v>
      </c>
      <c r="F13" s="149">
        <v>45.503999999999998</v>
      </c>
      <c r="G13" s="149">
        <v>532.07299999999998</v>
      </c>
      <c r="H13" s="149">
        <f t="shared" si="1"/>
        <v>11.692884142053446</v>
      </c>
      <c r="I13" s="149">
        <v>85.597999999999999</v>
      </c>
      <c r="J13" s="149">
        <v>147.04900000000001</v>
      </c>
      <c r="K13" s="149">
        <f t="shared" si="2"/>
        <v>1.7179022874366225</v>
      </c>
      <c r="L13" s="149">
        <v>20.555</v>
      </c>
      <c r="M13" s="149">
        <v>131.13800000000001</v>
      </c>
      <c r="N13" s="149">
        <f t="shared" si="3"/>
        <v>6.3798589151058138</v>
      </c>
      <c r="O13" s="149">
        <v>4.0129999999999999</v>
      </c>
      <c r="P13" s="149">
        <v>21.221</v>
      </c>
      <c r="Q13" s="149">
        <f t="shared" si="7"/>
        <v>5.2880637926738103</v>
      </c>
      <c r="R13" s="148">
        <v>3.3959999999999999</v>
      </c>
      <c r="S13" s="148">
        <v>0.59</v>
      </c>
      <c r="T13" s="148">
        <f t="shared" si="4"/>
        <v>0.17373380447585393</v>
      </c>
      <c r="U13" s="150">
        <v>0.90800000000000003</v>
      </c>
      <c r="V13" s="150">
        <v>0.48699999999999999</v>
      </c>
      <c r="W13" s="150">
        <f t="shared" si="6"/>
        <v>0.53634361233480177</v>
      </c>
      <c r="X13" s="150">
        <v>9.7000000000000003E-2</v>
      </c>
      <c r="Y13" s="150">
        <f t="shared" si="9"/>
        <v>0.18085420944558522</v>
      </c>
      <c r="Z13" s="150">
        <v>0.10100000000000001</v>
      </c>
      <c r="AA13" s="150">
        <f t="shared" si="12"/>
        <v>0.55846087469912353</v>
      </c>
      <c r="AB13" s="148">
        <v>0.111</v>
      </c>
      <c r="AC13" s="148">
        <v>0.45200000000000001</v>
      </c>
      <c r="AD13" s="150">
        <f t="shared" si="10"/>
        <v>4.0720720720720722</v>
      </c>
      <c r="AE13" s="150">
        <v>0.36899999999999999</v>
      </c>
      <c r="AF13" s="150">
        <v>1.081</v>
      </c>
      <c r="AG13" s="150">
        <f t="shared" si="11"/>
        <v>2.9295392953929538</v>
      </c>
      <c r="AH13" s="148"/>
      <c r="AI13" s="148"/>
      <c r="AJ13" s="150"/>
      <c r="AK13" s="153"/>
      <c r="AL13" s="153"/>
      <c r="AM13" s="150"/>
      <c r="AN13" s="150">
        <v>0.03</v>
      </c>
      <c r="AO13" s="150">
        <v>3.0000000000000001E-3</v>
      </c>
      <c r="AP13" s="150">
        <f>AO13/AN13</f>
        <v>0.1</v>
      </c>
      <c r="AQ13" s="150">
        <v>0.42</v>
      </c>
      <c r="AR13" s="150">
        <v>0.54100000000000004</v>
      </c>
      <c r="AS13" s="150">
        <f>AR13/AQ13</f>
        <v>1.2880952380952382</v>
      </c>
      <c r="AT13" s="150">
        <v>9.7000000000000003E-2</v>
      </c>
      <c r="AU13" s="150">
        <v>9.1999999999999998E-2</v>
      </c>
      <c r="AV13" s="150">
        <f>AU13/AT13</f>
        <v>0.94845360824742264</v>
      </c>
      <c r="AW13" s="150">
        <v>11.042</v>
      </c>
      <c r="AX13" s="150">
        <v>40.026000000000003</v>
      </c>
      <c r="AY13" s="148">
        <f t="shared" ref="AY13:AY32" si="13">AX13/AW13</f>
        <v>3.6248867958703137</v>
      </c>
      <c r="AZ13" s="150"/>
      <c r="BA13" s="150"/>
      <c r="BB13" s="148"/>
      <c r="BC13" s="150">
        <v>7.4999999999999997E-2</v>
      </c>
      <c r="BD13" s="150">
        <v>2.7E-2</v>
      </c>
      <c r="BE13" s="150">
        <f>BD13/BC13</f>
        <v>0.36</v>
      </c>
      <c r="BF13" s="148"/>
      <c r="BG13" s="148"/>
      <c r="BH13" s="148"/>
      <c r="BI13" s="151">
        <v>383.71199999999999</v>
      </c>
      <c r="BJ13" s="151">
        <v>974.50340000000006</v>
      </c>
      <c r="BK13">
        <f t="shared" si="5"/>
        <v>2.5396740263530986</v>
      </c>
    </row>
    <row r="14" spans="1:63" ht="16.8" x14ac:dyDescent="0.3">
      <c r="A14" s="146">
        <v>12</v>
      </c>
      <c r="B14" s="147" t="s">
        <v>35</v>
      </c>
      <c r="C14" s="148">
        <v>82.123999999999995</v>
      </c>
      <c r="D14" s="148">
        <v>33.591000000000001</v>
      </c>
      <c r="E14" s="148">
        <f t="shared" si="0"/>
        <v>0.40902781160196777</v>
      </c>
      <c r="F14" s="149">
        <v>2.7</v>
      </c>
      <c r="G14" s="149">
        <v>56.241999999999997</v>
      </c>
      <c r="H14" s="149">
        <f t="shared" si="1"/>
        <v>20.830370370370368</v>
      </c>
      <c r="I14" s="149">
        <v>0</v>
      </c>
      <c r="J14" s="149">
        <v>0</v>
      </c>
      <c r="K14" s="149"/>
      <c r="L14" s="149">
        <v>2.2170000000000001</v>
      </c>
      <c r="M14" s="149">
        <v>7.42</v>
      </c>
      <c r="N14" s="149">
        <f t="shared" si="3"/>
        <v>3.3468651330626971</v>
      </c>
      <c r="O14" s="149">
        <v>0.20300000000000001</v>
      </c>
      <c r="P14" s="149">
        <v>1.0680000000000001</v>
      </c>
      <c r="Q14" s="149">
        <f t="shared" si="7"/>
        <v>5.2610837438423648</v>
      </c>
      <c r="R14" s="148">
        <v>39.143000000000001</v>
      </c>
      <c r="S14" s="148">
        <v>20.57</v>
      </c>
      <c r="T14" s="148">
        <f t="shared" si="4"/>
        <v>0.52550903098893798</v>
      </c>
      <c r="U14" s="150">
        <v>0</v>
      </c>
      <c r="V14" s="150">
        <v>0</v>
      </c>
      <c r="W14" s="150"/>
      <c r="X14" s="153"/>
      <c r="Y14" s="150"/>
      <c r="Z14" s="153"/>
      <c r="AA14" s="150"/>
      <c r="AB14" s="148"/>
      <c r="AC14" s="148"/>
      <c r="AD14" s="150"/>
      <c r="AE14" s="150"/>
      <c r="AF14" s="150"/>
      <c r="AG14" s="150"/>
      <c r="AH14" s="148"/>
      <c r="AI14" s="148"/>
      <c r="AJ14" s="150"/>
      <c r="AK14" s="154"/>
      <c r="AL14" s="154"/>
      <c r="AM14" s="150"/>
      <c r="AN14" s="150">
        <v>8.4000000000000005E-2</v>
      </c>
      <c r="AO14" s="150">
        <v>1.0999999999999999E-2</v>
      </c>
      <c r="AP14" s="150">
        <f t="shared" ref="AP14:AP32" si="14">AO14/AN14</f>
        <v>0.13095238095238093</v>
      </c>
      <c r="AQ14" s="148">
        <v>23.51</v>
      </c>
      <c r="AR14" s="148">
        <v>14.911</v>
      </c>
      <c r="AS14" s="150">
        <f t="shared" ref="AS14:AS32" si="15">AR14/AQ14</f>
        <v>0.63424074861760948</v>
      </c>
      <c r="AT14" s="150">
        <v>0.78700000000000003</v>
      </c>
      <c r="AU14" s="150">
        <v>5.8000000000000003E-2</v>
      </c>
      <c r="AV14" s="150">
        <f t="shared" ref="AV14:AV32" si="16">AU14/AT14</f>
        <v>7.3697585768742066E-2</v>
      </c>
      <c r="AW14" s="150">
        <v>8.3879999999999999</v>
      </c>
      <c r="AX14" s="150">
        <v>29.129000000000001</v>
      </c>
      <c r="AY14" s="148">
        <f t="shared" si="13"/>
        <v>3.4726990939437292</v>
      </c>
      <c r="AZ14" s="150"/>
      <c r="BA14" s="150"/>
      <c r="BB14" s="148"/>
      <c r="BC14" s="150">
        <v>3.5270000000000003E-2</v>
      </c>
      <c r="BD14" s="150">
        <v>1.7000000000000001E-2</v>
      </c>
      <c r="BE14" s="150">
        <f t="shared" ref="BE14:BE32" si="17">BD14/BC14</f>
        <v>0.48199603062092428</v>
      </c>
      <c r="BF14" s="148"/>
      <c r="BG14" s="148"/>
      <c r="BH14" s="148"/>
      <c r="BI14" s="151">
        <v>159.19127</v>
      </c>
      <c r="BJ14" s="151">
        <v>163.01699999999997</v>
      </c>
      <c r="BK14">
        <f t="shared" si="5"/>
        <v>1.0240322851874979</v>
      </c>
    </row>
    <row r="15" spans="1:63" ht="16.8" x14ac:dyDescent="0.3">
      <c r="A15" s="146">
        <v>13</v>
      </c>
      <c r="B15" s="147" t="s">
        <v>36</v>
      </c>
      <c r="C15" s="148">
        <v>0</v>
      </c>
      <c r="D15" s="148">
        <v>0</v>
      </c>
      <c r="E15" s="148"/>
      <c r="F15" s="149">
        <v>29.762</v>
      </c>
      <c r="G15" s="149">
        <v>477.56299999999999</v>
      </c>
      <c r="H15" s="149">
        <f t="shared" si="1"/>
        <v>16.04606545259055</v>
      </c>
      <c r="I15" s="149">
        <v>122.19799999999999</v>
      </c>
      <c r="J15" s="149">
        <v>315.59800000000001</v>
      </c>
      <c r="K15" s="149">
        <f t="shared" si="2"/>
        <v>2.5826772942274019</v>
      </c>
      <c r="L15" s="149">
        <v>17.763999999999999</v>
      </c>
      <c r="M15" s="149">
        <v>62.994999999999997</v>
      </c>
      <c r="N15" s="149">
        <f t="shared" si="3"/>
        <v>3.5462170682278766</v>
      </c>
      <c r="O15" s="149">
        <v>193.066</v>
      </c>
      <c r="P15" s="149">
        <v>1982.604</v>
      </c>
      <c r="Q15" s="149">
        <f t="shared" si="7"/>
        <v>10.269047890358738</v>
      </c>
      <c r="R15" s="154"/>
      <c r="S15" s="154"/>
      <c r="T15" s="148"/>
      <c r="U15" s="150">
        <v>298.95</v>
      </c>
      <c r="V15" s="150">
        <v>401.34</v>
      </c>
      <c r="W15" s="150">
        <f t="shared" si="6"/>
        <v>1.3424987456096338</v>
      </c>
      <c r="X15" s="150">
        <v>0.3</v>
      </c>
      <c r="Y15" s="150">
        <f t="shared" si="9"/>
        <v>0.22346389594857227</v>
      </c>
      <c r="Z15" s="150">
        <v>0.33900000000000002</v>
      </c>
      <c r="AA15" s="150">
        <f t="shared" si="12"/>
        <v>1.5170235825388863</v>
      </c>
      <c r="AB15" s="150">
        <v>1.58</v>
      </c>
      <c r="AC15" s="150">
        <v>2.8479999999999999</v>
      </c>
      <c r="AD15" s="150">
        <f t="shared" si="10"/>
        <v>1.8025316455696201</v>
      </c>
      <c r="AE15" s="150">
        <v>52.201999999999998</v>
      </c>
      <c r="AF15" s="150">
        <v>100.212</v>
      </c>
      <c r="AG15" s="150">
        <f t="shared" si="11"/>
        <v>1.9196965633500633</v>
      </c>
      <c r="AH15" s="150">
        <v>7.2270000000000003</v>
      </c>
      <c r="AI15" s="150">
        <v>7.7569999999999997</v>
      </c>
      <c r="AJ15" s="150">
        <f t="shared" si="8"/>
        <v>1.0733361007333608</v>
      </c>
      <c r="AK15" s="150">
        <v>2.5999999999999999E-2</v>
      </c>
      <c r="AL15" s="150">
        <v>2.5999999999999999E-2</v>
      </c>
      <c r="AM15" s="150">
        <f t="shared" ref="AM15:AM32" si="18">AL15/AK15</f>
        <v>1</v>
      </c>
      <c r="AN15" s="157"/>
      <c r="AO15" s="157"/>
      <c r="AP15" s="150"/>
      <c r="AQ15" s="157"/>
      <c r="AR15" s="157"/>
      <c r="AS15" s="150"/>
      <c r="AT15" s="157"/>
      <c r="AU15" s="157"/>
      <c r="AV15" s="150"/>
      <c r="AW15" s="150">
        <v>0.93799999999999994</v>
      </c>
      <c r="AX15" s="150">
        <v>9.8469999999999995</v>
      </c>
      <c r="AY15" s="148">
        <f t="shared" si="13"/>
        <v>10.497867803837954</v>
      </c>
      <c r="AZ15" s="148"/>
      <c r="BA15" s="148"/>
      <c r="BB15" s="148"/>
      <c r="BC15" s="148"/>
      <c r="BD15" s="148"/>
      <c r="BE15" s="150"/>
      <c r="BF15" s="148">
        <v>0.76400000000000001</v>
      </c>
      <c r="BG15" s="148">
        <v>11.087</v>
      </c>
      <c r="BH15" s="148">
        <f>BG15/BF15</f>
        <v>14.511780104712042</v>
      </c>
      <c r="BI15" s="151">
        <v>724.77699999999993</v>
      </c>
      <c r="BJ15" s="151">
        <v>3372.2160000000003</v>
      </c>
      <c r="BK15">
        <f t="shared" si="5"/>
        <v>4.6527635396818621</v>
      </c>
    </row>
    <row r="16" spans="1:63" ht="16.8" x14ac:dyDescent="0.3">
      <c r="A16" s="146">
        <v>14</v>
      </c>
      <c r="B16" s="147" t="s">
        <v>37</v>
      </c>
      <c r="C16" s="148">
        <v>1.2370000000000001</v>
      </c>
      <c r="D16" s="148">
        <v>0.59299999999999997</v>
      </c>
      <c r="E16" s="148">
        <f t="shared" si="0"/>
        <v>0.47938561034761512</v>
      </c>
      <c r="F16" s="149">
        <v>9.6440000000000001</v>
      </c>
      <c r="G16" s="149">
        <v>133.886</v>
      </c>
      <c r="H16" s="149">
        <f t="shared" si="1"/>
        <v>13.882828701783492</v>
      </c>
      <c r="I16" s="149">
        <v>5.6050000000000004</v>
      </c>
      <c r="J16" s="149">
        <v>24.484000000000002</v>
      </c>
      <c r="K16" s="149">
        <f t="shared" si="2"/>
        <v>4.3682426404995542</v>
      </c>
      <c r="L16" s="149">
        <v>59.576000000000001</v>
      </c>
      <c r="M16" s="149">
        <v>230.7406</v>
      </c>
      <c r="N16" s="149">
        <f t="shared" si="3"/>
        <v>3.8730461930978919</v>
      </c>
      <c r="O16" s="149">
        <v>3.7789999999999999</v>
      </c>
      <c r="P16" s="149">
        <v>22.442</v>
      </c>
      <c r="Q16" s="149">
        <f t="shared" si="7"/>
        <v>5.9386080973802597</v>
      </c>
      <c r="R16" s="154"/>
      <c r="S16" s="154"/>
      <c r="T16" s="148"/>
      <c r="U16" s="150">
        <v>1.78</v>
      </c>
      <c r="V16" s="150">
        <v>5.5030000000000001</v>
      </c>
      <c r="W16" s="150">
        <f t="shared" si="6"/>
        <v>3.0915730337078653</v>
      </c>
      <c r="X16" s="154"/>
      <c r="Y16" s="150">
        <f t="shared" si="9"/>
        <v>0</v>
      </c>
      <c r="Z16" s="154"/>
      <c r="AA16" s="150"/>
      <c r="AB16" s="150"/>
      <c r="AC16" s="150"/>
      <c r="AD16" s="150"/>
      <c r="AE16" s="150">
        <v>0.83499999999999996</v>
      </c>
      <c r="AF16" s="150">
        <v>5.3380000000000001</v>
      </c>
      <c r="AG16" s="150">
        <f t="shared" si="11"/>
        <v>6.3928143712574856</v>
      </c>
      <c r="AH16" s="148">
        <v>0</v>
      </c>
      <c r="AI16" s="148">
        <v>0</v>
      </c>
      <c r="AJ16" s="150"/>
      <c r="AK16" s="148"/>
      <c r="AL16" s="148"/>
      <c r="AM16" s="150"/>
      <c r="AN16" s="156"/>
      <c r="AO16" s="156"/>
      <c r="AP16" s="150"/>
      <c r="AQ16" s="150">
        <v>8.5999999999999993E-2</v>
      </c>
      <c r="AR16" s="150">
        <v>0.10299999999999999</v>
      </c>
      <c r="AS16" s="150">
        <f t="shared" si="15"/>
        <v>1.1976744186046513</v>
      </c>
      <c r="AT16" s="157"/>
      <c r="AU16" s="157"/>
      <c r="AV16" s="150"/>
      <c r="AW16" s="150">
        <v>1.0389999999999999</v>
      </c>
      <c r="AX16" s="150">
        <v>9.968</v>
      </c>
      <c r="AY16" s="148">
        <f t="shared" si="13"/>
        <v>9.5938402309913382</v>
      </c>
      <c r="AZ16" s="148"/>
      <c r="BA16" s="148"/>
      <c r="BB16" s="148"/>
      <c r="BC16" s="148"/>
      <c r="BD16" s="148"/>
      <c r="BE16" s="150"/>
      <c r="BF16" s="148"/>
      <c r="BG16" s="148"/>
      <c r="BH16" s="148"/>
      <c r="BI16" s="151">
        <v>83.580999999999989</v>
      </c>
      <c r="BJ16" s="151">
        <v>433.05760000000004</v>
      </c>
      <c r="BK16">
        <f t="shared" si="5"/>
        <v>5.1812923989902027</v>
      </c>
    </row>
    <row r="17" spans="1:63" ht="16.8" x14ac:dyDescent="0.3">
      <c r="A17" s="146">
        <v>15</v>
      </c>
      <c r="B17" s="158" t="s">
        <v>38</v>
      </c>
      <c r="C17" s="148"/>
      <c r="D17" s="148"/>
      <c r="E17" s="148"/>
      <c r="F17" s="149">
        <v>4.8010000000000002</v>
      </c>
      <c r="G17" s="149">
        <v>66.938999999999993</v>
      </c>
      <c r="H17" s="149">
        <f t="shared" si="1"/>
        <v>13.94272026661112</v>
      </c>
      <c r="I17" s="159"/>
      <c r="J17" s="159"/>
      <c r="K17" s="149"/>
      <c r="L17" s="149">
        <v>2.3460000000000001</v>
      </c>
      <c r="M17" s="149">
        <v>5.6840000000000002</v>
      </c>
      <c r="N17" s="149">
        <f t="shared" si="3"/>
        <v>2.422847399829497</v>
      </c>
      <c r="O17" s="149"/>
      <c r="P17" s="149">
        <v>0</v>
      </c>
      <c r="Q17" s="149"/>
      <c r="R17" s="148">
        <v>0.182</v>
      </c>
      <c r="S17" s="148">
        <v>4.0000000000000001E-3</v>
      </c>
      <c r="T17" s="148">
        <f t="shared" si="4"/>
        <v>2.197802197802198E-2</v>
      </c>
      <c r="U17" s="148">
        <v>5.0999999999999997E-2</v>
      </c>
      <c r="V17" s="148">
        <v>7.4499999999999997E-2</v>
      </c>
      <c r="W17" s="150">
        <f t="shared" si="6"/>
        <v>1.4607843137254903</v>
      </c>
      <c r="X17" s="154"/>
      <c r="Y17" s="150">
        <f t="shared" si="9"/>
        <v>0</v>
      </c>
      <c r="Z17" s="154"/>
      <c r="AA17" s="150"/>
      <c r="AB17" s="148"/>
      <c r="AC17" s="148"/>
      <c r="AD17" s="150"/>
      <c r="AE17" s="148"/>
      <c r="AF17" s="148"/>
      <c r="AG17" s="150"/>
      <c r="AH17" s="148"/>
      <c r="AI17" s="148"/>
      <c r="AJ17" s="150"/>
      <c r="AK17" s="148"/>
      <c r="AL17" s="148"/>
      <c r="AM17" s="150"/>
      <c r="AN17" s="157"/>
      <c r="AO17" s="157"/>
      <c r="AP17" s="150"/>
      <c r="AQ17" s="157"/>
      <c r="AR17" s="157"/>
      <c r="AS17" s="150"/>
      <c r="AT17" s="157"/>
      <c r="AU17" s="157"/>
      <c r="AV17" s="150"/>
      <c r="AW17" s="157"/>
      <c r="AX17" s="157"/>
      <c r="AY17" s="148"/>
      <c r="AZ17" s="148"/>
      <c r="BA17" s="148"/>
      <c r="BB17" s="148"/>
      <c r="BC17" s="148"/>
      <c r="BD17" s="148"/>
      <c r="BE17" s="150"/>
      <c r="BF17" s="148"/>
      <c r="BG17" s="148"/>
      <c r="BH17" s="148"/>
      <c r="BI17" s="151">
        <v>7.3800000000000008</v>
      </c>
      <c r="BJ17" s="151">
        <v>72.701499999999996</v>
      </c>
      <c r="BK17">
        <f t="shared" si="5"/>
        <v>9.8511517615176132</v>
      </c>
    </row>
    <row r="18" spans="1:63" ht="16.8" x14ac:dyDescent="0.3">
      <c r="A18" s="146">
        <v>16</v>
      </c>
      <c r="B18" s="147" t="s">
        <v>39</v>
      </c>
      <c r="C18" s="148">
        <v>1.056</v>
      </c>
      <c r="D18" s="148">
        <v>0.80100000000000005</v>
      </c>
      <c r="E18" s="148">
        <f t="shared" si="0"/>
        <v>0.75852272727272729</v>
      </c>
      <c r="F18" s="149">
        <v>9.9719999999999995</v>
      </c>
      <c r="G18" s="149">
        <v>66.448999999999998</v>
      </c>
      <c r="H18" s="149">
        <f t="shared" si="1"/>
        <v>6.6635579622944245</v>
      </c>
      <c r="I18" s="160"/>
      <c r="J18" s="160"/>
      <c r="K18" s="149"/>
      <c r="L18" s="155">
        <v>3.0059999999999998</v>
      </c>
      <c r="M18" s="155">
        <v>3.3752</v>
      </c>
      <c r="N18" s="149">
        <f t="shared" si="3"/>
        <v>1.1228210246174319</v>
      </c>
      <c r="O18" s="155">
        <v>0.115</v>
      </c>
      <c r="P18" s="155">
        <v>0.19600000000000001</v>
      </c>
      <c r="Q18" s="149">
        <f t="shared" si="7"/>
        <v>1.7043478260869565</v>
      </c>
      <c r="R18" s="154"/>
      <c r="S18" s="154"/>
      <c r="T18" s="148"/>
      <c r="U18" s="148"/>
      <c r="V18" s="148"/>
      <c r="W18" s="150"/>
      <c r="X18" s="154"/>
      <c r="Y18" s="150"/>
      <c r="Z18" s="154"/>
      <c r="AA18" s="150"/>
      <c r="AB18" s="148"/>
      <c r="AC18" s="148"/>
      <c r="AD18" s="150"/>
      <c r="AE18" s="148"/>
      <c r="AF18" s="148"/>
      <c r="AG18" s="150"/>
      <c r="AH18" s="148"/>
      <c r="AI18" s="148"/>
      <c r="AJ18" s="150"/>
      <c r="AK18" s="148"/>
      <c r="AL18" s="148"/>
      <c r="AM18" s="150"/>
      <c r="AN18" s="148">
        <v>0.46899999999999997</v>
      </c>
      <c r="AO18" s="148">
        <v>1.149</v>
      </c>
      <c r="AP18" s="150">
        <f t="shared" si="14"/>
        <v>2.4498933901918978</v>
      </c>
      <c r="AQ18" s="157"/>
      <c r="AR18" s="157"/>
      <c r="AS18" s="150"/>
      <c r="AT18" s="157"/>
      <c r="AU18" s="157"/>
      <c r="AV18" s="150"/>
      <c r="AW18" s="157"/>
      <c r="AX18" s="157"/>
      <c r="AY18" s="148"/>
      <c r="AZ18" s="148"/>
      <c r="BA18" s="148"/>
      <c r="BB18" s="148"/>
      <c r="BC18" s="148"/>
      <c r="BD18" s="148"/>
      <c r="BE18" s="150"/>
      <c r="BF18" s="148"/>
      <c r="BG18" s="148"/>
      <c r="BH18" s="148"/>
      <c r="BI18" s="151">
        <v>14.617999999999999</v>
      </c>
      <c r="BJ18" s="151">
        <v>71.970200000000006</v>
      </c>
      <c r="BK18">
        <f t="shared" si="5"/>
        <v>4.9233958133807647</v>
      </c>
    </row>
    <row r="19" spans="1:63" ht="16.8" x14ac:dyDescent="0.3">
      <c r="A19" s="146">
        <v>17</v>
      </c>
      <c r="B19" s="147" t="s">
        <v>40</v>
      </c>
      <c r="C19" s="148">
        <v>7.0000000000000007E-2</v>
      </c>
      <c r="D19" s="148">
        <v>2.5000000000000001E-3</v>
      </c>
      <c r="E19" s="148">
        <f t="shared" si="0"/>
        <v>3.5714285714285712E-2</v>
      </c>
      <c r="F19" s="149">
        <v>8.5530000000000008</v>
      </c>
      <c r="G19" s="149">
        <v>60.130499999999998</v>
      </c>
      <c r="H19" s="149">
        <f t="shared" si="1"/>
        <v>7.0303402314977195</v>
      </c>
      <c r="I19" s="155">
        <v>11.19575</v>
      </c>
      <c r="J19" s="155">
        <v>10.918100000000001</v>
      </c>
      <c r="K19" s="149">
        <f t="shared" si="2"/>
        <v>0.97520041087019638</v>
      </c>
      <c r="L19" s="155">
        <v>7.7384000000000004</v>
      </c>
      <c r="M19" s="155">
        <v>29.82</v>
      </c>
      <c r="N19" s="149">
        <f t="shared" si="3"/>
        <v>3.8535097694613873</v>
      </c>
      <c r="O19" s="155">
        <v>2.2800000000000001E-2</v>
      </c>
      <c r="P19" s="155">
        <v>1.2E-2</v>
      </c>
      <c r="Q19" s="149">
        <f t="shared" si="7"/>
        <v>0.52631578947368418</v>
      </c>
      <c r="R19" s="154"/>
      <c r="S19" s="154"/>
      <c r="T19" s="148"/>
      <c r="U19" s="148">
        <v>0.2304775</v>
      </c>
      <c r="V19" s="148">
        <v>2.1080000000000002E-2</v>
      </c>
      <c r="W19" s="150">
        <f t="shared" si="6"/>
        <v>9.1462290245251709E-2</v>
      </c>
      <c r="X19" s="154"/>
      <c r="Y19" s="150">
        <f t="shared" si="9"/>
        <v>0</v>
      </c>
      <c r="Z19" s="154"/>
      <c r="AA19" s="150"/>
      <c r="AB19" s="148"/>
      <c r="AC19" s="148"/>
      <c r="AD19" s="150"/>
      <c r="AE19" s="148"/>
      <c r="AF19" s="148"/>
      <c r="AG19" s="150"/>
      <c r="AH19" s="148"/>
      <c r="AI19" s="148"/>
      <c r="AJ19" s="150"/>
      <c r="AK19" s="148">
        <v>5.0000000000000001E-4</v>
      </c>
      <c r="AL19" s="148">
        <v>1.5E-3</v>
      </c>
      <c r="AM19" s="150">
        <f t="shared" si="18"/>
        <v>3</v>
      </c>
      <c r="AN19" s="148">
        <v>1E-3</v>
      </c>
      <c r="AO19" s="148">
        <v>2.5000000000000001E-4</v>
      </c>
      <c r="AP19" s="150">
        <f t="shared" si="14"/>
        <v>0.25</v>
      </c>
      <c r="AQ19" s="157"/>
      <c r="AR19" s="157"/>
      <c r="AS19" s="150"/>
      <c r="AT19" s="157"/>
      <c r="AU19" s="157"/>
      <c r="AV19" s="150"/>
      <c r="AW19" s="148">
        <v>0.01</v>
      </c>
      <c r="AX19" s="148">
        <v>2.5999999999999999E-2</v>
      </c>
      <c r="AY19" s="148">
        <f t="shared" si="13"/>
        <v>2.5999999999999996</v>
      </c>
      <c r="AZ19" s="148"/>
      <c r="BA19" s="148"/>
      <c r="BB19" s="148"/>
      <c r="BC19" s="148"/>
      <c r="BD19" s="148"/>
      <c r="BE19" s="150"/>
      <c r="BF19" s="148"/>
      <c r="BG19" s="148"/>
      <c r="BH19" s="148"/>
      <c r="BI19" s="151">
        <v>27.821927500000001</v>
      </c>
      <c r="BJ19" s="151">
        <v>100.93192999999997</v>
      </c>
      <c r="BK19">
        <f t="shared" si="5"/>
        <v>3.6277835171556667</v>
      </c>
    </row>
    <row r="20" spans="1:63" ht="16.8" x14ac:dyDescent="0.3">
      <c r="A20" s="146">
        <v>18</v>
      </c>
      <c r="B20" s="152" t="s">
        <v>41</v>
      </c>
      <c r="C20" s="148">
        <v>0.10100000000000001</v>
      </c>
      <c r="D20" s="148">
        <v>2.4E-2</v>
      </c>
      <c r="E20" s="148">
        <f t="shared" si="0"/>
        <v>0.23762376237623761</v>
      </c>
      <c r="F20" s="149">
        <v>4.7169999999999996</v>
      </c>
      <c r="G20" s="149">
        <v>35.28</v>
      </c>
      <c r="H20" s="149">
        <f t="shared" si="1"/>
        <v>7.4793300826796703</v>
      </c>
      <c r="I20" s="149">
        <v>1.98</v>
      </c>
      <c r="J20" s="149">
        <v>4.3280000000000003</v>
      </c>
      <c r="K20" s="149">
        <f t="shared" si="2"/>
        <v>2.1858585858585862</v>
      </c>
      <c r="L20" s="149">
        <v>0.64900000000000002</v>
      </c>
      <c r="M20" s="149">
        <v>1.8380000000000001</v>
      </c>
      <c r="N20" s="149">
        <f t="shared" si="3"/>
        <v>2.8320493066255779</v>
      </c>
      <c r="O20" s="149">
        <v>0.28999999999999998</v>
      </c>
      <c r="P20" s="149">
        <v>2.3820000000000001</v>
      </c>
      <c r="Q20" s="149">
        <f t="shared" si="7"/>
        <v>8.2137931034482765</v>
      </c>
      <c r="R20" s="148">
        <v>3.988</v>
      </c>
      <c r="S20" s="148">
        <v>2.2629999999999999</v>
      </c>
      <c r="T20" s="148">
        <f t="shared" si="4"/>
        <v>0.56745235707121366</v>
      </c>
      <c r="U20" s="150">
        <v>4.7E-2</v>
      </c>
      <c r="V20" s="150">
        <v>7.4999999999999997E-2</v>
      </c>
      <c r="W20" s="150">
        <f t="shared" si="6"/>
        <v>1.5957446808510638</v>
      </c>
      <c r="X20" s="154"/>
      <c r="Y20" s="150">
        <f t="shared" si="9"/>
        <v>0</v>
      </c>
      <c r="Z20" s="154"/>
      <c r="AA20" s="150"/>
      <c r="AB20" s="148"/>
      <c r="AC20" s="148"/>
      <c r="AD20" s="150"/>
      <c r="AE20" s="148"/>
      <c r="AF20" s="148"/>
      <c r="AG20" s="150"/>
      <c r="AH20" s="148"/>
      <c r="AI20" s="148"/>
      <c r="AJ20" s="150"/>
      <c r="AK20" s="154"/>
      <c r="AL20" s="154"/>
      <c r="AM20" s="150"/>
      <c r="AN20" s="148">
        <v>6.0000000000000001E-3</v>
      </c>
      <c r="AO20" s="148">
        <v>2E-3</v>
      </c>
      <c r="AP20" s="150">
        <f t="shared" si="14"/>
        <v>0.33333333333333331</v>
      </c>
      <c r="AQ20" s="157"/>
      <c r="AR20" s="157"/>
      <c r="AS20" s="150"/>
      <c r="AT20" s="157"/>
      <c r="AU20" s="157"/>
      <c r="AV20" s="150"/>
      <c r="AW20" s="148">
        <v>0.01</v>
      </c>
      <c r="AX20" s="148">
        <v>0.14699999999999999</v>
      </c>
      <c r="AY20" s="148">
        <f t="shared" si="13"/>
        <v>14.7</v>
      </c>
      <c r="AZ20" s="148"/>
      <c r="BA20" s="148"/>
      <c r="BB20" s="148"/>
      <c r="BC20" s="148"/>
      <c r="BD20" s="148"/>
      <c r="BE20" s="150"/>
      <c r="BF20" s="148"/>
      <c r="BG20" s="148"/>
      <c r="BH20" s="148"/>
      <c r="BI20" s="151">
        <v>11.788</v>
      </c>
      <c r="BJ20" s="151">
        <v>46.339000000000006</v>
      </c>
      <c r="BK20">
        <f t="shared" si="5"/>
        <v>3.9310315575161185</v>
      </c>
    </row>
    <row r="21" spans="1:63" ht="16.8" x14ac:dyDescent="0.3">
      <c r="A21" s="146">
        <v>19</v>
      </c>
      <c r="B21" s="147" t="s">
        <v>42</v>
      </c>
      <c r="C21" s="154"/>
      <c r="D21" s="154"/>
      <c r="E21" s="148"/>
      <c r="F21" s="149">
        <v>16.574999999999999</v>
      </c>
      <c r="G21" s="149">
        <v>128.02000000000001</v>
      </c>
      <c r="H21" s="149">
        <f t="shared" si="1"/>
        <v>7.7236802413273011</v>
      </c>
      <c r="I21" s="149">
        <v>71.7</v>
      </c>
      <c r="J21" s="149">
        <v>69.28</v>
      </c>
      <c r="K21" s="149">
        <f t="shared" si="2"/>
        <v>0.96624825662482561</v>
      </c>
      <c r="L21" s="149">
        <v>27.87</v>
      </c>
      <c r="M21" s="149">
        <v>43.615000000000002</v>
      </c>
      <c r="N21" s="149">
        <f t="shared" si="3"/>
        <v>1.5649443846429854</v>
      </c>
      <c r="O21" s="149">
        <v>12.441000000000001</v>
      </c>
      <c r="P21" s="149">
        <v>45.481999999999999</v>
      </c>
      <c r="Q21" s="149">
        <f t="shared" si="7"/>
        <v>3.6558154489188968</v>
      </c>
      <c r="R21" s="154"/>
      <c r="S21" s="154"/>
      <c r="T21" s="148"/>
      <c r="U21" s="150">
        <v>19.609500000000001</v>
      </c>
      <c r="V21" s="150">
        <v>10.863</v>
      </c>
      <c r="W21" s="150">
        <f t="shared" si="6"/>
        <v>0.553966189856957</v>
      </c>
      <c r="X21" s="154"/>
      <c r="Y21" s="150">
        <f t="shared" si="9"/>
        <v>0</v>
      </c>
      <c r="Z21" s="154"/>
      <c r="AA21" s="150"/>
      <c r="AB21" s="148"/>
      <c r="AC21" s="148"/>
      <c r="AD21" s="150"/>
      <c r="AE21" s="148"/>
      <c r="AF21" s="148"/>
      <c r="AG21" s="150"/>
      <c r="AH21" s="148"/>
      <c r="AI21" s="148"/>
      <c r="AJ21" s="150"/>
      <c r="AK21" s="154"/>
      <c r="AL21" s="154"/>
      <c r="AM21" s="150"/>
      <c r="AN21" s="154"/>
      <c r="AO21" s="154"/>
      <c r="AP21" s="150"/>
      <c r="AQ21" s="157"/>
      <c r="AR21" s="157"/>
      <c r="AS21" s="150"/>
      <c r="AT21" s="157"/>
      <c r="AU21" s="157"/>
      <c r="AV21" s="150"/>
      <c r="AW21" s="157"/>
      <c r="AX21" s="157"/>
      <c r="AY21" s="148"/>
      <c r="AZ21" s="148"/>
      <c r="BA21" s="148"/>
      <c r="BB21" s="148"/>
      <c r="BC21" s="148"/>
      <c r="BD21" s="148"/>
      <c r="BE21" s="150"/>
      <c r="BF21" s="148"/>
      <c r="BG21" s="148"/>
      <c r="BH21" s="148"/>
      <c r="BI21" s="151">
        <v>148.19550000000001</v>
      </c>
      <c r="BJ21" s="151">
        <v>297.26000000000005</v>
      </c>
      <c r="BK21">
        <f t="shared" si="5"/>
        <v>2.0058638757587106</v>
      </c>
    </row>
    <row r="22" spans="1:63" ht="16.8" x14ac:dyDescent="0.3">
      <c r="A22" s="146">
        <v>20</v>
      </c>
      <c r="B22" s="147" t="s">
        <v>44</v>
      </c>
      <c r="C22" s="154"/>
      <c r="D22" s="154"/>
      <c r="E22" s="148"/>
      <c r="F22" s="154"/>
      <c r="G22" s="154"/>
      <c r="H22" s="149"/>
      <c r="I22" s="149">
        <v>8.7769999999999992</v>
      </c>
      <c r="J22" s="149">
        <v>17.63</v>
      </c>
      <c r="K22" s="149">
        <f t="shared" si="2"/>
        <v>2.0086589951008316</v>
      </c>
      <c r="L22" s="149">
        <v>0.90700000000000003</v>
      </c>
      <c r="M22" s="149">
        <v>3.3</v>
      </c>
      <c r="N22" s="149">
        <f t="shared" si="3"/>
        <v>3.6383682469680263</v>
      </c>
      <c r="O22" s="149">
        <v>8.8689999999999998</v>
      </c>
      <c r="P22" s="149">
        <v>96.766999999999996</v>
      </c>
      <c r="Q22" s="149">
        <f t="shared" si="7"/>
        <v>10.910700191678881</v>
      </c>
      <c r="R22" s="154"/>
      <c r="S22" s="154"/>
      <c r="T22" s="148"/>
      <c r="U22" s="157"/>
      <c r="V22" s="157"/>
      <c r="W22" s="150"/>
      <c r="X22" s="154"/>
      <c r="Y22" s="150"/>
      <c r="Z22" s="154"/>
      <c r="AA22" s="150"/>
      <c r="AB22" s="148"/>
      <c r="AC22" s="148"/>
      <c r="AD22" s="150"/>
      <c r="AE22" s="150"/>
      <c r="AF22" s="150"/>
      <c r="AG22" s="150"/>
      <c r="AH22" s="148"/>
      <c r="AI22" s="148"/>
      <c r="AJ22" s="150"/>
      <c r="AK22" s="150">
        <v>4.5659999999999998</v>
      </c>
      <c r="AL22" s="150">
        <v>6.5110000000000001</v>
      </c>
      <c r="AM22" s="150">
        <f t="shared" si="18"/>
        <v>1.4259745948313622</v>
      </c>
      <c r="AN22" s="154"/>
      <c r="AO22" s="154"/>
      <c r="AP22" s="150"/>
      <c r="AQ22" s="157"/>
      <c r="AR22" s="157"/>
      <c r="AS22" s="150"/>
      <c r="AT22" s="157"/>
      <c r="AU22" s="157"/>
      <c r="AV22" s="150"/>
      <c r="AW22" s="157"/>
      <c r="AX22" s="157"/>
      <c r="AY22" s="148"/>
      <c r="AZ22" s="148"/>
      <c r="BA22" s="148"/>
      <c r="BB22" s="148"/>
      <c r="BC22" s="148"/>
      <c r="BD22" s="148"/>
      <c r="BE22" s="150"/>
      <c r="BF22" s="148"/>
      <c r="BG22" s="148"/>
      <c r="BH22" s="148"/>
      <c r="BI22" s="151">
        <v>23.118999999999996</v>
      </c>
      <c r="BJ22" s="151">
        <v>124.208</v>
      </c>
      <c r="BK22">
        <f t="shared" si="5"/>
        <v>5.3725507158614132</v>
      </c>
    </row>
    <row r="23" spans="1:63" ht="16.8" x14ac:dyDescent="0.3">
      <c r="A23" s="146">
        <v>21</v>
      </c>
      <c r="B23" s="147" t="s">
        <v>45</v>
      </c>
      <c r="C23" s="154"/>
      <c r="D23" s="154"/>
      <c r="E23" s="148"/>
      <c r="F23" s="149">
        <v>9.4E-2</v>
      </c>
      <c r="G23" s="149">
        <v>0.31900000000000001</v>
      </c>
      <c r="H23" s="149">
        <f t="shared" si="1"/>
        <v>3.3936170212765959</v>
      </c>
      <c r="I23" s="155">
        <v>6.6029999999999998</v>
      </c>
      <c r="J23" s="155">
        <v>10.925000000000001</v>
      </c>
      <c r="K23" s="149">
        <f t="shared" si="2"/>
        <v>1.6545509616840832</v>
      </c>
      <c r="L23" s="155">
        <v>0.24299999999999999</v>
      </c>
      <c r="M23" s="155">
        <v>0.43099999999999999</v>
      </c>
      <c r="N23" s="149">
        <f t="shared" si="3"/>
        <v>1.7736625514403292</v>
      </c>
      <c r="O23" s="155">
        <v>87.662999999999997</v>
      </c>
      <c r="P23" s="155">
        <v>517.08799999999997</v>
      </c>
      <c r="Q23" s="149">
        <f t="shared" si="7"/>
        <v>5.8985889143652397</v>
      </c>
      <c r="R23" s="157"/>
      <c r="S23" s="157"/>
      <c r="T23" s="148"/>
      <c r="U23" s="148">
        <v>124.286</v>
      </c>
      <c r="V23" s="148">
        <v>182.70500000000001</v>
      </c>
      <c r="W23" s="150">
        <f t="shared" si="6"/>
        <v>1.470036850489999</v>
      </c>
      <c r="X23" s="148">
        <v>609.71900000000005</v>
      </c>
      <c r="Y23" s="150">
        <f t="shared" si="9"/>
        <v>414.7644324676391</v>
      </c>
      <c r="Z23" s="148">
        <v>318.68799999999999</v>
      </c>
      <c r="AA23" s="150">
        <f t="shared" si="12"/>
        <v>0.76835903721051291</v>
      </c>
      <c r="AB23" s="148">
        <v>30.814</v>
      </c>
      <c r="AC23" s="148">
        <v>33.563000000000002</v>
      </c>
      <c r="AD23" s="150">
        <f t="shared" si="10"/>
        <v>1.0892126955280068</v>
      </c>
      <c r="AE23" s="148">
        <v>90.468999999999994</v>
      </c>
      <c r="AF23" s="148">
        <v>109.28</v>
      </c>
      <c r="AG23" s="150">
        <f t="shared" si="11"/>
        <v>1.2079275774022042</v>
      </c>
      <c r="AH23" s="148">
        <v>12.475</v>
      </c>
      <c r="AI23" s="148">
        <v>7.4790000000000001</v>
      </c>
      <c r="AJ23" s="150">
        <f t="shared" si="8"/>
        <v>0.59951903807615237</v>
      </c>
      <c r="AK23" s="148">
        <v>4.5220000000000002</v>
      </c>
      <c r="AL23" s="148">
        <v>3.2360000000000002</v>
      </c>
      <c r="AM23" s="150">
        <f t="shared" si="18"/>
        <v>0.7156125608137992</v>
      </c>
      <c r="AN23" s="154"/>
      <c r="AO23" s="154"/>
      <c r="AP23" s="150"/>
      <c r="AQ23" s="157"/>
      <c r="AR23" s="157"/>
      <c r="AS23" s="150"/>
      <c r="AT23" s="157"/>
      <c r="AU23" s="157"/>
      <c r="AV23" s="150"/>
      <c r="AW23" s="157"/>
      <c r="AX23" s="157"/>
      <c r="AY23" s="148"/>
      <c r="AZ23" s="148"/>
      <c r="BA23" s="148"/>
      <c r="BB23" s="148"/>
      <c r="BC23" s="148"/>
      <c r="BD23" s="148"/>
      <c r="BE23" s="150"/>
      <c r="BF23" s="148"/>
      <c r="BG23" s="148"/>
      <c r="BH23" s="148"/>
      <c r="BI23" s="151">
        <v>966.88800000000015</v>
      </c>
      <c r="BJ23" s="151">
        <v>1183.7140000000002</v>
      </c>
      <c r="BK23">
        <f t="shared" si="5"/>
        <v>1.2242514127799704</v>
      </c>
    </row>
    <row r="24" spans="1:63" ht="16.8" x14ac:dyDescent="0.3">
      <c r="A24" s="146">
        <v>22</v>
      </c>
      <c r="B24" s="147" t="s">
        <v>46</v>
      </c>
      <c r="C24" s="161"/>
      <c r="D24" s="161"/>
      <c r="E24" s="148"/>
      <c r="F24" s="149">
        <v>15.222</v>
      </c>
      <c r="G24" s="149">
        <v>81.5</v>
      </c>
      <c r="H24" s="149">
        <f t="shared" si="1"/>
        <v>5.3540927604782551</v>
      </c>
      <c r="I24" s="161"/>
      <c r="J24" s="161"/>
      <c r="K24" s="149"/>
      <c r="L24" s="149">
        <v>4.9950000000000001</v>
      </c>
      <c r="M24" s="149">
        <v>15.464</v>
      </c>
      <c r="N24" s="149">
        <f t="shared" si="3"/>
        <v>3.0958958958958958</v>
      </c>
      <c r="O24" s="162">
        <v>0</v>
      </c>
      <c r="P24" s="162">
        <v>0</v>
      </c>
      <c r="Q24" s="149"/>
      <c r="R24" s="148">
        <v>22.132000000000001</v>
      </c>
      <c r="S24" s="148">
        <v>5.6139999999999999</v>
      </c>
      <c r="T24" s="148">
        <f t="shared" si="4"/>
        <v>0.25365985902765226</v>
      </c>
      <c r="U24" s="157"/>
      <c r="V24" s="157"/>
      <c r="W24" s="150"/>
      <c r="X24" s="157"/>
      <c r="Y24" s="150"/>
      <c r="Z24" s="157"/>
      <c r="AA24" s="150"/>
      <c r="AB24" s="148"/>
      <c r="AC24" s="148"/>
      <c r="AD24" s="150"/>
      <c r="AE24" s="154"/>
      <c r="AF24" s="154"/>
      <c r="AG24" s="150"/>
      <c r="AH24" s="148"/>
      <c r="AI24" s="148"/>
      <c r="AJ24" s="150"/>
      <c r="AK24" s="157"/>
      <c r="AL24" s="157"/>
      <c r="AM24" s="150"/>
      <c r="AN24" s="154"/>
      <c r="AO24" s="154"/>
      <c r="AP24" s="150"/>
      <c r="AQ24" s="157"/>
      <c r="AR24" s="157"/>
      <c r="AS24" s="150"/>
      <c r="AT24" s="157"/>
      <c r="AU24" s="157"/>
      <c r="AV24" s="150"/>
      <c r="AW24" s="157"/>
      <c r="AX24" s="157"/>
      <c r="AY24" s="148"/>
      <c r="AZ24" s="148"/>
      <c r="BA24" s="148"/>
      <c r="BB24" s="148"/>
      <c r="BC24" s="148"/>
      <c r="BD24" s="148"/>
      <c r="BE24" s="150"/>
      <c r="BF24" s="148"/>
      <c r="BG24" s="148"/>
      <c r="BH24" s="148"/>
      <c r="BI24" s="151">
        <v>42.349000000000004</v>
      </c>
      <c r="BJ24" s="151">
        <v>102.578</v>
      </c>
      <c r="BK24">
        <f t="shared" si="5"/>
        <v>2.4222059552763935</v>
      </c>
    </row>
    <row r="25" spans="1:63" ht="16.8" x14ac:dyDescent="0.3">
      <c r="A25" s="146">
        <v>23</v>
      </c>
      <c r="B25" s="147" t="s">
        <v>47</v>
      </c>
      <c r="C25" s="148">
        <v>6.5759999999999996</v>
      </c>
      <c r="D25" s="148">
        <v>1.44</v>
      </c>
      <c r="E25" s="148">
        <f t="shared" si="0"/>
        <v>0.21897810218978103</v>
      </c>
      <c r="F25" s="149">
        <v>0.64500000000000002</v>
      </c>
      <c r="G25" s="149">
        <v>11.015000000000001</v>
      </c>
      <c r="H25" s="149">
        <f t="shared" si="1"/>
        <v>17.077519379844961</v>
      </c>
      <c r="I25" s="155">
        <v>55.716000000000001</v>
      </c>
      <c r="J25" s="155">
        <v>25.648</v>
      </c>
      <c r="K25" s="149">
        <f t="shared" si="2"/>
        <v>0.46033455380860072</v>
      </c>
      <c r="L25" s="155">
        <v>20.893999999999998</v>
      </c>
      <c r="M25" s="155">
        <v>86.513000000000005</v>
      </c>
      <c r="N25" s="149">
        <f t="shared" si="3"/>
        <v>4.1405666698573755</v>
      </c>
      <c r="O25" s="155">
        <v>1.272</v>
      </c>
      <c r="P25" s="155">
        <v>7.3639999999999999</v>
      </c>
      <c r="Q25" s="149">
        <f t="shared" si="7"/>
        <v>5.7893081761006284</v>
      </c>
      <c r="R25" s="148">
        <v>4.0309999999999997</v>
      </c>
      <c r="S25" s="148">
        <v>0.36599999999999999</v>
      </c>
      <c r="T25" s="148">
        <f t="shared" si="4"/>
        <v>9.0796328454477798E-2</v>
      </c>
      <c r="U25" s="148">
        <v>9.7170000000000005</v>
      </c>
      <c r="V25" s="148">
        <v>4.1840000000000002</v>
      </c>
      <c r="W25" s="150">
        <f t="shared" si="6"/>
        <v>0.43058557167850159</v>
      </c>
      <c r="X25" s="157"/>
      <c r="Y25" s="150">
        <f t="shared" si="9"/>
        <v>0</v>
      </c>
      <c r="Z25" s="157"/>
      <c r="AA25" s="150"/>
      <c r="AB25" s="148">
        <v>5.7499999999999999E-3</v>
      </c>
      <c r="AC25" s="148">
        <v>0</v>
      </c>
      <c r="AD25" s="150">
        <f t="shared" si="10"/>
        <v>0</v>
      </c>
      <c r="AE25" s="148">
        <v>3.7499999999999997E-5</v>
      </c>
      <c r="AF25" s="148">
        <v>0</v>
      </c>
      <c r="AG25" s="150">
        <f t="shared" si="11"/>
        <v>0</v>
      </c>
      <c r="AH25" s="148"/>
      <c r="AI25" s="148"/>
      <c r="AJ25" s="150"/>
      <c r="AK25" s="157"/>
      <c r="AL25" s="157"/>
      <c r="AM25" s="150"/>
      <c r="AN25" s="154"/>
      <c r="AO25" s="154"/>
      <c r="AP25" s="150"/>
      <c r="AQ25" s="148">
        <v>0.17399999999999999</v>
      </c>
      <c r="AR25" s="148">
        <v>0.02</v>
      </c>
      <c r="AS25" s="150">
        <f t="shared" si="15"/>
        <v>0.1149425287356322</v>
      </c>
      <c r="AT25" s="148">
        <v>1.0389999999999999</v>
      </c>
      <c r="AU25" s="148">
        <v>1.008</v>
      </c>
      <c r="AV25" s="150">
        <f t="shared" si="16"/>
        <v>0.9701636188642927</v>
      </c>
      <c r="AW25" s="148">
        <v>14.500999999999999</v>
      </c>
      <c r="AX25" s="148">
        <v>44.658999999999999</v>
      </c>
      <c r="AY25" s="148">
        <f t="shared" si="13"/>
        <v>3.0797186400937866</v>
      </c>
      <c r="AZ25" s="148"/>
      <c r="BA25" s="148"/>
      <c r="BB25" s="148"/>
      <c r="BC25" s="148"/>
      <c r="BD25" s="148"/>
      <c r="BE25" s="150"/>
      <c r="BF25" s="148">
        <v>0.51100000000000001</v>
      </c>
      <c r="BG25" s="148">
        <v>0</v>
      </c>
      <c r="BH25" s="148">
        <f t="shared" ref="BH25:BH32" si="19">BG25/BF25</f>
        <v>0</v>
      </c>
      <c r="BI25" s="151">
        <v>115.08178750000002</v>
      </c>
      <c r="BJ25" s="151">
        <v>182.21700000000004</v>
      </c>
      <c r="BK25">
        <f t="shared" si="5"/>
        <v>1.5833695666223468</v>
      </c>
    </row>
    <row r="26" spans="1:63" ht="16.8" x14ac:dyDescent="0.3">
      <c r="A26" s="146">
        <v>24</v>
      </c>
      <c r="B26" s="147" t="s">
        <v>56</v>
      </c>
      <c r="C26" s="163"/>
      <c r="D26" s="163"/>
      <c r="E26" s="148"/>
      <c r="F26" s="149">
        <v>2.5939999999999999</v>
      </c>
      <c r="G26" s="149">
        <v>23.1</v>
      </c>
      <c r="H26" s="149">
        <f t="shared" si="1"/>
        <v>8.9051657671549744</v>
      </c>
      <c r="I26" s="155">
        <v>89.156000000000006</v>
      </c>
      <c r="J26" s="155">
        <v>536.54100000000005</v>
      </c>
      <c r="K26" s="149">
        <f t="shared" si="2"/>
        <v>6.0180021535286468</v>
      </c>
      <c r="L26" s="155">
        <v>41.014000000000003</v>
      </c>
      <c r="M26" s="155">
        <v>319.76</v>
      </c>
      <c r="N26" s="149">
        <f t="shared" si="3"/>
        <v>7.7963622177792944</v>
      </c>
      <c r="O26" s="149">
        <v>2.3E-2</v>
      </c>
      <c r="P26" s="149">
        <v>0.108</v>
      </c>
      <c r="Q26" s="149">
        <f t="shared" si="7"/>
        <v>4.6956521739130439</v>
      </c>
      <c r="R26" s="154"/>
      <c r="S26" s="154"/>
      <c r="T26" s="148"/>
      <c r="U26" s="150">
        <v>0.81200000000000006</v>
      </c>
      <c r="V26" s="150">
        <v>0.86099999999999999</v>
      </c>
      <c r="W26" s="150">
        <f t="shared" si="6"/>
        <v>1.0603448275862069</v>
      </c>
      <c r="X26" s="157"/>
      <c r="Y26" s="150">
        <f t="shared" si="9"/>
        <v>0</v>
      </c>
      <c r="Z26" s="157"/>
      <c r="AA26" s="150"/>
      <c r="AB26" s="148"/>
      <c r="AC26" s="148"/>
      <c r="AD26" s="150"/>
      <c r="AE26" s="164"/>
      <c r="AF26" s="164"/>
      <c r="AG26" s="150"/>
      <c r="AH26" s="150">
        <v>0.84099999999999997</v>
      </c>
      <c r="AI26" s="150">
        <v>0.64400000000000002</v>
      </c>
      <c r="AJ26" s="150">
        <f t="shared" si="8"/>
        <v>0.76575505350772899</v>
      </c>
      <c r="AK26" s="157"/>
      <c r="AL26" s="157"/>
      <c r="AM26" s="150"/>
      <c r="AN26" s="154"/>
      <c r="AO26" s="154"/>
      <c r="AP26" s="150"/>
      <c r="AQ26" s="157"/>
      <c r="AR26" s="157"/>
      <c r="AS26" s="150"/>
      <c r="AT26" s="157"/>
      <c r="AU26" s="157"/>
      <c r="AV26" s="150"/>
      <c r="AW26" s="150">
        <v>2.0132500000000002</v>
      </c>
      <c r="AX26" s="150">
        <v>12.66075</v>
      </c>
      <c r="AY26" s="148">
        <f t="shared" si="13"/>
        <v>6.2887122811374638</v>
      </c>
      <c r="AZ26" s="148"/>
      <c r="BA26" s="148"/>
      <c r="BB26" s="148"/>
      <c r="BC26" s="148"/>
      <c r="BD26" s="148"/>
      <c r="BE26" s="150"/>
      <c r="BF26" s="148"/>
      <c r="BG26" s="148"/>
      <c r="BH26" s="148"/>
      <c r="BI26" s="151">
        <v>136.45325000000003</v>
      </c>
      <c r="BJ26" s="151">
        <v>893.67475000000002</v>
      </c>
      <c r="BK26">
        <f t="shared" si="5"/>
        <v>6.5493108445566515</v>
      </c>
    </row>
    <row r="27" spans="1:63" ht="16.8" x14ac:dyDescent="0.3">
      <c r="A27" s="146">
        <v>25</v>
      </c>
      <c r="B27" s="147" t="s">
        <v>48</v>
      </c>
      <c r="C27" s="148">
        <v>0.33</v>
      </c>
      <c r="D27" s="148">
        <v>0.34234200000000004</v>
      </c>
      <c r="E27" s="148">
        <f t="shared" si="0"/>
        <v>1.0374000000000001</v>
      </c>
      <c r="F27" s="149">
        <v>1.897</v>
      </c>
      <c r="G27" s="149">
        <v>16.126000000000001</v>
      </c>
      <c r="H27" s="149">
        <f t="shared" si="1"/>
        <v>8.5007907221929369</v>
      </c>
      <c r="I27" s="155">
        <v>2.8250000000000002</v>
      </c>
      <c r="J27" s="155">
        <v>6.6980000000000004</v>
      </c>
      <c r="K27" s="149">
        <f t="shared" si="2"/>
        <v>2.3709734513274334</v>
      </c>
      <c r="L27" s="155">
        <v>1.6819999999999999</v>
      </c>
      <c r="M27" s="155">
        <v>2.0489999999999999</v>
      </c>
      <c r="N27" s="149">
        <f t="shared" si="3"/>
        <v>1.2181926278240189</v>
      </c>
      <c r="O27" s="159"/>
      <c r="P27" s="159"/>
      <c r="Q27" s="149"/>
      <c r="R27" s="154"/>
      <c r="S27" s="154"/>
      <c r="T27" s="148"/>
      <c r="U27" s="153"/>
      <c r="V27" s="153"/>
      <c r="W27" s="150"/>
      <c r="X27" s="157"/>
      <c r="Y27" s="150"/>
      <c r="Z27" s="157"/>
      <c r="AA27" s="150"/>
      <c r="AB27" s="148"/>
      <c r="AC27" s="148"/>
      <c r="AD27" s="150"/>
      <c r="AE27" s="164"/>
      <c r="AF27" s="164"/>
      <c r="AG27" s="150"/>
      <c r="AH27" s="148"/>
      <c r="AI27" s="148"/>
      <c r="AJ27" s="150"/>
      <c r="AK27" s="157"/>
      <c r="AL27" s="157"/>
      <c r="AM27" s="150"/>
      <c r="AN27" s="154"/>
      <c r="AO27" s="154"/>
      <c r="AP27" s="150"/>
      <c r="AQ27" s="157"/>
      <c r="AR27" s="157"/>
      <c r="AS27" s="150"/>
      <c r="AT27" s="157"/>
      <c r="AU27" s="157"/>
      <c r="AV27" s="150"/>
      <c r="AW27" s="157"/>
      <c r="AX27" s="157"/>
      <c r="AY27" s="148"/>
      <c r="AZ27" s="148"/>
      <c r="BA27" s="148"/>
      <c r="BB27" s="148"/>
      <c r="BC27" s="148"/>
      <c r="BD27" s="148"/>
      <c r="BE27" s="150"/>
      <c r="BF27" s="148"/>
      <c r="BG27" s="148"/>
      <c r="BH27" s="148"/>
      <c r="BI27" s="151">
        <v>6.734</v>
      </c>
      <c r="BJ27" s="151">
        <v>25.215342</v>
      </c>
      <c r="BK27">
        <f t="shared" si="5"/>
        <v>3.7444820314820313</v>
      </c>
    </row>
    <row r="28" spans="1:63" ht="16.8" x14ac:dyDescent="0.3">
      <c r="A28" s="146">
        <v>26</v>
      </c>
      <c r="B28" s="147" t="s">
        <v>49</v>
      </c>
      <c r="C28" s="163"/>
      <c r="D28" s="163"/>
      <c r="E28" s="148"/>
      <c r="F28" s="149">
        <v>0.91100000000000003</v>
      </c>
      <c r="G28" s="149">
        <v>4.2949999999999999</v>
      </c>
      <c r="H28" s="149">
        <f t="shared" si="1"/>
        <v>4.7145993413830949</v>
      </c>
      <c r="I28" s="149">
        <v>13.6</v>
      </c>
      <c r="J28" s="149">
        <v>12.065</v>
      </c>
      <c r="K28" s="149">
        <f t="shared" si="2"/>
        <v>0.88713235294117643</v>
      </c>
      <c r="L28" s="149">
        <v>1.6830000000000001</v>
      </c>
      <c r="M28" s="149">
        <v>2.3610000000000002</v>
      </c>
      <c r="N28" s="149">
        <f t="shared" si="3"/>
        <v>1.4028520499108734</v>
      </c>
      <c r="O28" s="149">
        <v>34.895000000000003</v>
      </c>
      <c r="P28" s="149">
        <v>207.14400000000001</v>
      </c>
      <c r="Q28" s="149">
        <f t="shared" si="7"/>
        <v>5.9362086258776321</v>
      </c>
      <c r="R28" s="154"/>
      <c r="S28" s="154"/>
      <c r="T28" s="148"/>
      <c r="U28" s="150">
        <v>6.7619999999999996</v>
      </c>
      <c r="V28" s="150">
        <v>5.3070000000000004</v>
      </c>
      <c r="W28" s="150">
        <f t="shared" si="6"/>
        <v>0.78482697426796821</v>
      </c>
      <c r="X28" s="150">
        <v>2E-3</v>
      </c>
      <c r="Y28" s="150">
        <f t="shared" si="9"/>
        <v>2.5483323911814578E-3</v>
      </c>
      <c r="Z28" s="150">
        <v>6.7499999999999999E-3</v>
      </c>
      <c r="AA28" s="150">
        <f t="shared" si="12"/>
        <v>2.6487910381543927</v>
      </c>
      <c r="AB28" s="150">
        <v>0.72</v>
      </c>
      <c r="AC28" s="150">
        <v>0.78400000000000003</v>
      </c>
      <c r="AD28" s="150">
        <f t="shared" si="10"/>
        <v>1.088888888888889</v>
      </c>
      <c r="AE28" s="150">
        <v>0.34100000000000003</v>
      </c>
      <c r="AF28" s="150">
        <v>0.29299999999999998</v>
      </c>
      <c r="AG28" s="150">
        <f t="shared" si="11"/>
        <v>0.8592375366568914</v>
      </c>
      <c r="AH28" s="148"/>
      <c r="AI28" s="148"/>
      <c r="AJ28" s="150"/>
      <c r="AK28" s="157"/>
      <c r="AL28" s="157"/>
      <c r="AM28" s="150"/>
      <c r="AN28" s="154"/>
      <c r="AO28" s="154"/>
      <c r="AP28" s="150"/>
      <c r="AQ28" s="157"/>
      <c r="AR28" s="157"/>
      <c r="AS28" s="150"/>
      <c r="AT28" s="157"/>
      <c r="AU28" s="157"/>
      <c r="AV28" s="150"/>
      <c r="AW28" s="157"/>
      <c r="AX28" s="157"/>
      <c r="AY28" s="148"/>
      <c r="AZ28" s="148"/>
      <c r="BA28" s="148"/>
      <c r="BB28" s="148"/>
      <c r="BC28" s="148"/>
      <c r="BD28" s="148"/>
      <c r="BE28" s="150"/>
      <c r="BF28" s="150">
        <v>346.00299999999999</v>
      </c>
      <c r="BG28" s="150">
        <v>34.712000000000003</v>
      </c>
      <c r="BH28" s="148">
        <f t="shared" si="19"/>
        <v>0.10032282957084189</v>
      </c>
      <c r="BI28" s="151">
        <v>404.91699999999997</v>
      </c>
      <c r="BJ28" s="151">
        <v>266.96775000000002</v>
      </c>
      <c r="BK28">
        <f t="shared" si="5"/>
        <v>0.65931474845462168</v>
      </c>
    </row>
    <row r="29" spans="1:63" ht="16.8" x14ac:dyDescent="0.3">
      <c r="A29" s="146">
        <v>27</v>
      </c>
      <c r="B29" s="147" t="s">
        <v>50</v>
      </c>
      <c r="C29" s="163"/>
      <c r="D29" s="163"/>
      <c r="E29" s="148"/>
      <c r="F29" s="149">
        <v>5.0935800000000002</v>
      </c>
      <c r="G29" s="149">
        <v>50.682899999999997</v>
      </c>
      <c r="H29" s="149">
        <f t="shared" si="1"/>
        <v>9.950349263190132</v>
      </c>
      <c r="I29" s="149">
        <v>2.8694299999999999</v>
      </c>
      <c r="J29" s="149">
        <v>9.6854300000000002</v>
      </c>
      <c r="K29" s="149">
        <f t="shared" si="2"/>
        <v>3.3753846582770795</v>
      </c>
      <c r="L29" s="149">
        <v>1.786</v>
      </c>
      <c r="M29" s="149">
        <v>2.9622999999999999</v>
      </c>
      <c r="N29" s="149">
        <f t="shared" si="3"/>
        <v>1.658622620380739</v>
      </c>
      <c r="O29" s="149">
        <v>2.1184400000000001</v>
      </c>
      <c r="P29" s="149">
        <v>11.51587</v>
      </c>
      <c r="Q29" s="149">
        <f t="shared" si="7"/>
        <v>5.4360142368912969</v>
      </c>
      <c r="R29" s="148">
        <v>6.8540000000000004E-2</v>
      </c>
      <c r="S29" s="148">
        <v>7.8479999999999994E-2</v>
      </c>
      <c r="T29" s="148">
        <f t="shared" si="4"/>
        <v>1.1450248030347241</v>
      </c>
      <c r="U29" s="150">
        <v>1.46997</v>
      </c>
      <c r="V29" s="150">
        <v>4.1794200000000004</v>
      </c>
      <c r="W29" s="150">
        <f t="shared" si="6"/>
        <v>2.8432008816506462</v>
      </c>
      <c r="X29" s="156"/>
      <c r="Y29" s="150">
        <f t="shared" si="9"/>
        <v>0</v>
      </c>
      <c r="Z29" s="156"/>
      <c r="AA29" s="150"/>
      <c r="AB29" s="150"/>
      <c r="AC29" s="150"/>
      <c r="AD29" s="150"/>
      <c r="AE29" s="150">
        <v>0.70326</v>
      </c>
      <c r="AF29" s="150">
        <v>3.8983400000000001</v>
      </c>
      <c r="AG29" s="150">
        <f t="shared" si="11"/>
        <v>5.5432414754144981</v>
      </c>
      <c r="AH29" s="148"/>
      <c r="AI29" s="148"/>
      <c r="AJ29" s="150"/>
      <c r="AK29" s="157"/>
      <c r="AL29" s="157"/>
      <c r="AM29" s="150"/>
      <c r="AN29" s="148">
        <v>0.48849999999999999</v>
      </c>
      <c r="AO29" s="148">
        <v>1.11595</v>
      </c>
      <c r="AP29" s="150">
        <f t="shared" si="14"/>
        <v>2.2844421699078814</v>
      </c>
      <c r="AQ29" s="157"/>
      <c r="AR29" s="157"/>
      <c r="AS29" s="150"/>
      <c r="AT29" s="157"/>
      <c r="AU29" s="157"/>
      <c r="AV29" s="150"/>
      <c r="AW29" s="157"/>
      <c r="AX29" s="157"/>
      <c r="AY29" s="148"/>
      <c r="AZ29" s="148"/>
      <c r="BA29" s="148"/>
      <c r="BB29" s="148"/>
      <c r="BC29" s="148"/>
      <c r="BD29" s="148"/>
      <c r="BE29" s="150"/>
      <c r="BF29" s="148"/>
      <c r="BG29" s="148"/>
      <c r="BH29" s="148"/>
      <c r="BI29" s="151">
        <v>14.597720000000001</v>
      </c>
      <c r="BJ29" s="151">
        <v>84.118690000000001</v>
      </c>
      <c r="BK29">
        <f t="shared" si="5"/>
        <v>5.7624539996657012</v>
      </c>
    </row>
    <row r="30" spans="1:63" ht="16.8" x14ac:dyDescent="0.3">
      <c r="A30" s="146">
        <v>28</v>
      </c>
      <c r="B30" s="147" t="s">
        <v>51</v>
      </c>
      <c r="C30" s="148">
        <v>0.33800000000000002</v>
      </c>
      <c r="D30" s="148">
        <v>9.0999999999999998E-2</v>
      </c>
      <c r="E30" s="148">
        <f t="shared" si="0"/>
        <v>0.26923076923076922</v>
      </c>
      <c r="F30" s="149">
        <v>12.7</v>
      </c>
      <c r="G30" s="149">
        <v>138.99799999999999</v>
      </c>
      <c r="H30" s="149">
        <f t="shared" si="1"/>
        <v>10.944724409448819</v>
      </c>
      <c r="I30" s="149">
        <v>4.93</v>
      </c>
      <c r="J30" s="149">
        <v>7.8209999999999997</v>
      </c>
      <c r="K30" s="149">
        <f t="shared" si="2"/>
        <v>1.5864097363083165</v>
      </c>
      <c r="L30" s="149">
        <v>18.481999999999999</v>
      </c>
      <c r="M30" s="149">
        <v>48.183</v>
      </c>
      <c r="N30" s="149">
        <f t="shared" si="3"/>
        <v>2.6070230494535225</v>
      </c>
      <c r="O30" s="149">
        <v>3.9809999999999999</v>
      </c>
      <c r="P30" s="149">
        <v>37.975000000000001</v>
      </c>
      <c r="Q30" s="149">
        <f t="shared" si="7"/>
        <v>9.5390605375533788</v>
      </c>
      <c r="R30" s="148">
        <v>3.0030000000000001</v>
      </c>
      <c r="S30" s="148">
        <v>0.84699999999999998</v>
      </c>
      <c r="T30" s="148">
        <f t="shared" si="4"/>
        <v>0.28205128205128205</v>
      </c>
      <c r="U30" s="150">
        <v>12.67</v>
      </c>
      <c r="V30" s="150">
        <v>16.443000000000001</v>
      </c>
      <c r="W30" s="150">
        <f t="shared" si="6"/>
        <v>1.297790055248619</v>
      </c>
      <c r="X30" s="150">
        <v>1.591</v>
      </c>
      <c r="Y30" s="150">
        <f t="shared" si="9"/>
        <v>1.2259301830566196</v>
      </c>
      <c r="Z30" s="150">
        <v>1.597</v>
      </c>
      <c r="AA30" s="150">
        <f t="shared" si="12"/>
        <v>1.3026842980716811</v>
      </c>
      <c r="AB30" s="150">
        <v>1.0449999999999999</v>
      </c>
      <c r="AC30" s="150">
        <v>1.0740000000000001</v>
      </c>
      <c r="AD30" s="150">
        <f t="shared" si="10"/>
        <v>1.027751196172249</v>
      </c>
      <c r="AE30" s="150">
        <v>2.7549999999999999</v>
      </c>
      <c r="AF30" s="150">
        <v>3.117</v>
      </c>
      <c r="AG30" s="150">
        <f t="shared" si="11"/>
        <v>1.1313974591651543</v>
      </c>
      <c r="AH30" s="148"/>
      <c r="AI30" s="148"/>
      <c r="AJ30" s="150"/>
      <c r="AK30" s="150">
        <v>1.2989999999999999</v>
      </c>
      <c r="AL30" s="150">
        <v>1.6970000000000001</v>
      </c>
      <c r="AM30" s="150">
        <f t="shared" si="18"/>
        <v>1.3063895304080062</v>
      </c>
      <c r="AN30" s="148">
        <v>0.84599999999999997</v>
      </c>
      <c r="AO30" s="148">
        <v>2.57</v>
      </c>
      <c r="AP30" s="150">
        <f t="shared" si="14"/>
        <v>3.0378250591016549</v>
      </c>
      <c r="AQ30" s="157"/>
      <c r="AR30" s="157"/>
      <c r="AS30" s="150"/>
      <c r="AT30" s="157"/>
      <c r="AU30" s="157"/>
      <c r="AV30" s="150"/>
      <c r="AW30" s="157"/>
      <c r="AX30" s="157"/>
      <c r="AY30" s="148"/>
      <c r="AZ30" s="148"/>
      <c r="BA30" s="148"/>
      <c r="BB30" s="148"/>
      <c r="BC30" s="148"/>
      <c r="BD30" s="148"/>
      <c r="BE30" s="150"/>
      <c r="BF30" s="148"/>
      <c r="BG30" s="148"/>
      <c r="BH30" s="148"/>
      <c r="BI30" s="151">
        <v>63.64</v>
      </c>
      <c r="BJ30" s="151">
        <v>260.41300000000001</v>
      </c>
      <c r="BK30">
        <f t="shared" si="5"/>
        <v>4.0919704588309243</v>
      </c>
    </row>
    <row r="31" spans="1:63" ht="16.8" x14ac:dyDescent="0.3">
      <c r="A31" s="146">
        <v>29</v>
      </c>
      <c r="B31" s="147" t="s">
        <v>75</v>
      </c>
      <c r="C31" s="148">
        <v>0.92700000000000005</v>
      </c>
      <c r="D31" s="148">
        <v>0.39100000000000001</v>
      </c>
      <c r="E31" s="148">
        <f t="shared" si="0"/>
        <v>0.42179072276159651</v>
      </c>
      <c r="F31" s="148">
        <v>0.113</v>
      </c>
      <c r="G31" s="148">
        <v>0.49099999999999999</v>
      </c>
      <c r="H31" s="149">
        <f t="shared" si="1"/>
        <v>4.3451327433628313</v>
      </c>
      <c r="I31" s="148">
        <v>4.3000000000000003E-2</v>
      </c>
      <c r="J31" s="148">
        <v>0.129</v>
      </c>
      <c r="K31" s="149">
        <f t="shared" si="2"/>
        <v>3</v>
      </c>
      <c r="L31" s="148">
        <v>7.6999999999999999E-2</v>
      </c>
      <c r="M31" s="148">
        <v>0.29400000000000004</v>
      </c>
      <c r="N31" s="149">
        <f t="shared" si="3"/>
        <v>3.8181818181818188</v>
      </c>
      <c r="O31" s="148">
        <v>0</v>
      </c>
      <c r="P31" s="148">
        <v>0</v>
      </c>
      <c r="Q31" s="149"/>
      <c r="R31" s="148">
        <v>0</v>
      </c>
      <c r="S31" s="148">
        <v>0</v>
      </c>
      <c r="T31" s="148"/>
      <c r="U31" s="148">
        <v>0</v>
      </c>
      <c r="V31" s="148">
        <v>0</v>
      </c>
      <c r="W31" s="150"/>
      <c r="X31" s="148">
        <v>0</v>
      </c>
      <c r="Y31" s="150"/>
      <c r="Z31" s="148">
        <v>0</v>
      </c>
      <c r="AA31" s="150"/>
      <c r="AB31" s="148">
        <v>0</v>
      </c>
      <c r="AC31" s="148">
        <v>0</v>
      </c>
      <c r="AD31" s="150"/>
      <c r="AE31" s="148">
        <v>0</v>
      </c>
      <c r="AF31" s="148">
        <v>0</v>
      </c>
      <c r="AG31" s="150"/>
      <c r="AH31" s="148">
        <v>0</v>
      </c>
      <c r="AI31" s="148">
        <v>0</v>
      </c>
      <c r="AJ31" s="150"/>
      <c r="AK31" s="148">
        <v>0</v>
      </c>
      <c r="AL31" s="148">
        <v>0</v>
      </c>
      <c r="AM31" s="150"/>
      <c r="AN31" s="148">
        <v>3.124E-2</v>
      </c>
      <c r="AO31" s="148">
        <v>2.8420000000000001E-2</v>
      </c>
      <c r="AP31" s="150">
        <f t="shared" si="14"/>
        <v>0.90973111395646611</v>
      </c>
      <c r="AQ31" s="148">
        <v>0.24053999999999998</v>
      </c>
      <c r="AR31" s="148">
        <v>1.9709999999999998E-2</v>
      </c>
      <c r="AS31" s="150">
        <f t="shared" si="15"/>
        <v>8.1940633574457467E-2</v>
      </c>
      <c r="AT31" s="148">
        <v>1.422E-2</v>
      </c>
      <c r="AU31" s="148">
        <v>2.1360000000000001E-2</v>
      </c>
      <c r="AV31" s="150">
        <f t="shared" si="16"/>
        <v>1.5021097046413503</v>
      </c>
      <c r="AW31" s="148">
        <v>5.5E-2</v>
      </c>
      <c r="AX31" s="148">
        <v>0.19800000000000001</v>
      </c>
      <c r="AY31" s="148">
        <f t="shared" si="13"/>
        <v>3.6</v>
      </c>
      <c r="AZ31" s="148">
        <v>0</v>
      </c>
      <c r="BA31" s="148">
        <v>0</v>
      </c>
      <c r="BB31" s="148"/>
      <c r="BC31" s="148">
        <v>0</v>
      </c>
      <c r="BD31" s="148">
        <v>0</v>
      </c>
      <c r="BE31" s="150"/>
      <c r="BF31" s="148">
        <v>0</v>
      </c>
      <c r="BG31" s="148">
        <v>0</v>
      </c>
      <c r="BH31" s="148"/>
      <c r="BI31" s="151">
        <v>1.5009999999999997</v>
      </c>
      <c r="BJ31" s="151">
        <v>1.5724900000000002</v>
      </c>
      <c r="BK31">
        <f t="shared" si="5"/>
        <v>1.0476282478347771</v>
      </c>
    </row>
    <row r="32" spans="1:63" s="111" customFormat="1" ht="16.8" x14ac:dyDescent="0.3">
      <c r="A32" s="146"/>
      <c r="B32" s="147" t="s">
        <v>52</v>
      </c>
      <c r="C32" s="165">
        <v>309.33511000000004</v>
      </c>
      <c r="D32" s="178">
        <v>140.63554199999999</v>
      </c>
      <c r="E32" s="166">
        <f t="shared" si="0"/>
        <v>0.45463814954597287</v>
      </c>
      <c r="F32" s="165">
        <v>204.83946</v>
      </c>
      <c r="G32" s="167">
        <v>2224.837</v>
      </c>
      <c r="H32" s="172">
        <f t="shared" si="1"/>
        <v>10.861369191268128</v>
      </c>
      <c r="I32" s="165">
        <v>702.04748000000006</v>
      </c>
      <c r="J32" s="167">
        <v>2049.2127225000004</v>
      </c>
      <c r="K32" s="173">
        <f t="shared" si="2"/>
        <v>2.9189090209397235</v>
      </c>
      <c r="L32" s="165">
        <v>292.87630000000001</v>
      </c>
      <c r="M32" s="167">
        <v>1123.8568500000001</v>
      </c>
      <c r="N32" s="174">
        <f t="shared" si="3"/>
        <v>3.8373089594480674</v>
      </c>
      <c r="O32" s="165">
        <v>392.14924000000002</v>
      </c>
      <c r="P32" s="167">
        <v>3189.7767699999999</v>
      </c>
      <c r="Q32" s="172">
        <f t="shared" si="7"/>
        <v>8.1340888739195307</v>
      </c>
      <c r="R32" s="187">
        <v>85.010220000000004</v>
      </c>
      <c r="S32" s="198">
        <v>33.954979999999999</v>
      </c>
      <c r="T32" s="166">
        <f t="shared" si="4"/>
        <v>0.39942232828005853</v>
      </c>
      <c r="U32" s="165">
        <v>656.45794749999982</v>
      </c>
      <c r="V32" s="167">
        <v>891.31700000000012</v>
      </c>
      <c r="W32" s="171">
        <f t="shared" si="6"/>
        <v>1.3577670944413394</v>
      </c>
      <c r="X32" s="165">
        <v>1087.01</v>
      </c>
      <c r="Y32" s="171">
        <f t="shared" si="9"/>
        <v>800.58649561488755</v>
      </c>
      <c r="Z32" s="167">
        <v>795.30975000000001</v>
      </c>
      <c r="AA32" s="171">
        <f t="shared" si="12"/>
        <v>0.99340890004541638</v>
      </c>
      <c r="AB32" s="187">
        <v>82.766750000000002</v>
      </c>
      <c r="AC32" s="178">
        <v>137.38800000000001</v>
      </c>
      <c r="AD32" s="171">
        <f t="shared" si="10"/>
        <v>1.6599419452859996</v>
      </c>
      <c r="AE32" s="187">
        <v>156.15629749999999</v>
      </c>
      <c r="AF32" s="178">
        <v>241.18333999999999</v>
      </c>
      <c r="AG32" s="171">
        <f t="shared" si="11"/>
        <v>1.5444996062358611</v>
      </c>
      <c r="AH32" s="187">
        <v>42.008000000000003</v>
      </c>
      <c r="AI32" s="178">
        <v>35.568999999999996</v>
      </c>
      <c r="AJ32" s="171">
        <f t="shared" si="8"/>
        <v>0.84671967244334401</v>
      </c>
      <c r="AK32" s="207">
        <v>25.278500000000001</v>
      </c>
      <c r="AL32" s="178">
        <v>30.509499999999999</v>
      </c>
      <c r="AM32" s="171">
        <f t="shared" si="18"/>
        <v>1.2069347469193188</v>
      </c>
      <c r="AN32" s="207">
        <v>1.95574</v>
      </c>
      <c r="AO32" s="198">
        <v>4.8796200000000001</v>
      </c>
      <c r="AP32" s="175">
        <f t="shared" si="14"/>
        <v>2.4950249010604684</v>
      </c>
      <c r="AQ32" s="207">
        <v>24.430540000000001</v>
      </c>
      <c r="AR32" s="198">
        <v>15.594709999999999</v>
      </c>
      <c r="AS32" s="171">
        <f t="shared" si="15"/>
        <v>0.63832850194879032</v>
      </c>
      <c r="AT32" s="207">
        <v>1.9372199999999999</v>
      </c>
      <c r="AU32" s="198">
        <v>1.17936</v>
      </c>
      <c r="AV32" s="171">
        <f t="shared" si="16"/>
        <v>0.60878991544584504</v>
      </c>
      <c r="AW32" s="187">
        <v>41.631250000000001</v>
      </c>
      <c r="AX32" s="167">
        <v>156.28875000000002</v>
      </c>
      <c r="AY32" s="176">
        <f t="shared" si="13"/>
        <v>3.754121002852425</v>
      </c>
      <c r="AZ32" s="207">
        <v>3.657</v>
      </c>
      <c r="BA32" s="192">
        <v>3.5999999999999999E-3</v>
      </c>
      <c r="BB32" s="166">
        <f t="shared" ref="BB32" si="20">BA32/AZ32</f>
        <v>9.8441345365053311E-4</v>
      </c>
      <c r="BC32" s="207">
        <v>0.11027000000000001</v>
      </c>
      <c r="BD32" s="198">
        <v>4.3999999999999997E-2</v>
      </c>
      <c r="BE32" s="171">
        <f t="shared" si="17"/>
        <v>0.39902058583476918</v>
      </c>
      <c r="BF32" s="207">
        <v>347.27799999999996</v>
      </c>
      <c r="BG32" s="198">
        <v>45.799000000000007</v>
      </c>
      <c r="BH32" s="166">
        <f t="shared" si="19"/>
        <v>0.13187993480727259</v>
      </c>
      <c r="BI32" s="166">
        <v>4456.9353250000013</v>
      </c>
      <c r="BJ32" s="166">
        <v>11117.3394945</v>
      </c>
      <c r="BK32" s="111">
        <f t="shared" si="5"/>
        <v>2.4943910296701461</v>
      </c>
    </row>
    <row r="34" spans="53:53" x14ac:dyDescent="0.3">
      <c r="BA34" s="208">
        <f>BC32+AZ32</f>
        <v>3.7672699999999999</v>
      </c>
    </row>
  </sheetData>
  <mergeCells count="20">
    <mergeCell ref="BF1:BG1"/>
    <mergeCell ref="BI1:BJ1"/>
    <mergeCell ref="AN1:AO1"/>
    <mergeCell ref="AQ1:AR1"/>
    <mergeCell ref="AT1:AU1"/>
    <mergeCell ref="AW1:AX1"/>
    <mergeCell ref="AZ1:BA1"/>
    <mergeCell ref="BC1:BD1"/>
    <mergeCell ref="AK1:AL1"/>
    <mergeCell ref="C1:D1"/>
    <mergeCell ref="F1:G1"/>
    <mergeCell ref="I1:J1"/>
    <mergeCell ref="L1:M1"/>
    <mergeCell ref="O1:P1"/>
    <mergeCell ref="R1:S1"/>
    <mergeCell ref="U1:V1"/>
    <mergeCell ref="X1:Z1"/>
    <mergeCell ref="AB1:AC1"/>
    <mergeCell ref="AE1:AF1"/>
    <mergeCell ref="AH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C06B-2DD9-4B82-BEE0-EFB813287342}">
  <dimension ref="A1:BC34"/>
  <sheetViews>
    <sheetView topLeftCell="AH16" workbookViewId="0">
      <selection activeCell="AX34" sqref="AX34"/>
    </sheetView>
  </sheetViews>
  <sheetFormatPr defaultRowHeight="14.4" x14ac:dyDescent="0.3"/>
  <cols>
    <col min="1" max="1" width="22.21875" bestFit="1" customWidth="1"/>
  </cols>
  <sheetData>
    <row r="1" spans="1:55" x14ac:dyDescent="0.3">
      <c r="A1" s="14" t="s">
        <v>0</v>
      </c>
      <c r="B1" s="224" t="s">
        <v>1</v>
      </c>
      <c r="C1" s="224"/>
      <c r="D1" s="15"/>
      <c r="E1" s="224" t="s">
        <v>2</v>
      </c>
      <c r="F1" s="224"/>
      <c r="G1" s="15"/>
      <c r="H1" s="224" t="s">
        <v>3</v>
      </c>
      <c r="I1" s="224"/>
      <c r="J1" s="15"/>
      <c r="K1" s="224" t="s">
        <v>4</v>
      </c>
      <c r="L1" s="224"/>
      <c r="M1" s="15"/>
      <c r="N1" s="224" t="s">
        <v>5</v>
      </c>
      <c r="O1" s="224"/>
      <c r="P1" s="15"/>
      <c r="Q1" s="224" t="s">
        <v>6</v>
      </c>
      <c r="R1" s="224"/>
      <c r="S1" s="15"/>
      <c r="T1" s="224" t="s">
        <v>7</v>
      </c>
      <c r="U1" s="224"/>
      <c r="V1" s="15"/>
      <c r="W1" s="224" t="s">
        <v>8</v>
      </c>
      <c r="X1" s="224"/>
      <c r="Y1" s="15"/>
      <c r="Z1" s="224" t="s">
        <v>9</v>
      </c>
      <c r="AA1" s="224"/>
      <c r="AB1" s="15"/>
      <c r="AC1" s="224" t="s">
        <v>10</v>
      </c>
      <c r="AD1" s="224"/>
      <c r="AE1" s="15"/>
      <c r="AF1" s="224" t="s">
        <v>11</v>
      </c>
      <c r="AG1" s="224"/>
      <c r="AH1" s="15"/>
      <c r="AI1" s="224" t="s">
        <v>12</v>
      </c>
      <c r="AJ1" s="224"/>
      <c r="AK1" s="15"/>
      <c r="AL1" s="225" t="s">
        <v>13</v>
      </c>
      <c r="AM1" s="225"/>
      <c r="AN1" s="16"/>
      <c r="AO1" s="224" t="s">
        <v>14</v>
      </c>
      <c r="AP1" s="224"/>
      <c r="AQ1" s="15"/>
      <c r="AR1" s="224" t="s">
        <v>15</v>
      </c>
      <c r="AS1" s="224"/>
      <c r="AT1" s="15"/>
      <c r="AU1" s="224" t="s">
        <v>16</v>
      </c>
      <c r="AV1" s="224"/>
      <c r="AW1" s="15"/>
      <c r="AX1" s="224" t="s">
        <v>17</v>
      </c>
      <c r="AY1" s="224"/>
      <c r="AZ1" s="15"/>
      <c r="BA1" s="224" t="s">
        <v>18</v>
      </c>
      <c r="BB1" s="224"/>
      <c r="BC1" s="9"/>
    </row>
    <row r="2" spans="1:55" x14ac:dyDescent="0.3">
      <c r="A2" s="17"/>
      <c r="B2" s="15" t="s">
        <v>19</v>
      </c>
      <c r="C2" s="15" t="s">
        <v>20</v>
      </c>
      <c r="D2" s="15" t="s">
        <v>21</v>
      </c>
      <c r="E2" s="15" t="s">
        <v>19</v>
      </c>
      <c r="F2" s="15" t="s">
        <v>20</v>
      </c>
      <c r="G2" s="15" t="s">
        <v>21</v>
      </c>
      <c r="H2" s="15" t="s">
        <v>19</v>
      </c>
      <c r="I2" s="15" t="s">
        <v>20</v>
      </c>
      <c r="J2" s="15" t="s">
        <v>21</v>
      </c>
      <c r="K2" s="15" t="s">
        <v>19</v>
      </c>
      <c r="L2" s="15" t="s">
        <v>20</v>
      </c>
      <c r="M2" s="15" t="s">
        <v>21</v>
      </c>
      <c r="N2" s="15" t="s">
        <v>19</v>
      </c>
      <c r="O2" s="15" t="s">
        <v>20</v>
      </c>
      <c r="P2" s="15" t="s">
        <v>21</v>
      </c>
      <c r="Q2" s="15" t="s">
        <v>19</v>
      </c>
      <c r="R2" s="15" t="s">
        <v>20</v>
      </c>
      <c r="S2" s="15" t="s">
        <v>21</v>
      </c>
      <c r="T2" s="15" t="s">
        <v>19</v>
      </c>
      <c r="U2" s="15" t="s">
        <v>20</v>
      </c>
      <c r="V2" s="15" t="s">
        <v>21</v>
      </c>
      <c r="W2" s="15" t="s">
        <v>19</v>
      </c>
      <c r="X2" s="15" t="s">
        <v>20</v>
      </c>
      <c r="Y2" s="15" t="s">
        <v>21</v>
      </c>
      <c r="Z2" s="15" t="s">
        <v>19</v>
      </c>
      <c r="AA2" s="15" t="s">
        <v>20</v>
      </c>
      <c r="AB2" s="15" t="s">
        <v>21</v>
      </c>
      <c r="AC2" s="15" t="s">
        <v>19</v>
      </c>
      <c r="AD2" s="15" t="s">
        <v>20</v>
      </c>
      <c r="AE2" s="15" t="s">
        <v>21</v>
      </c>
      <c r="AF2" s="15" t="s">
        <v>19</v>
      </c>
      <c r="AG2" s="15" t="s">
        <v>20</v>
      </c>
      <c r="AH2" s="15" t="s">
        <v>21</v>
      </c>
      <c r="AI2" s="15" t="s">
        <v>19</v>
      </c>
      <c r="AJ2" s="15" t="s">
        <v>20</v>
      </c>
      <c r="AK2" s="15" t="s">
        <v>21</v>
      </c>
      <c r="AL2" s="15" t="s">
        <v>19</v>
      </c>
      <c r="AM2" s="15" t="s">
        <v>20</v>
      </c>
      <c r="AN2" s="15" t="s">
        <v>21</v>
      </c>
      <c r="AO2" s="15" t="s">
        <v>19</v>
      </c>
      <c r="AP2" s="15" t="s">
        <v>20</v>
      </c>
      <c r="AQ2" s="15" t="s">
        <v>21</v>
      </c>
      <c r="AR2" s="15" t="s">
        <v>19</v>
      </c>
      <c r="AS2" s="15" t="s">
        <v>20</v>
      </c>
      <c r="AT2" s="15" t="s">
        <v>21</v>
      </c>
      <c r="AU2" s="15" t="s">
        <v>19</v>
      </c>
      <c r="AV2" s="15" t="s">
        <v>20</v>
      </c>
      <c r="AW2" s="15" t="s">
        <v>21</v>
      </c>
      <c r="AX2" s="15" t="s">
        <v>19</v>
      </c>
      <c r="AY2" s="15" t="s">
        <v>20</v>
      </c>
      <c r="AZ2" s="15" t="s">
        <v>21</v>
      </c>
      <c r="BA2" s="15" t="s">
        <v>19</v>
      </c>
      <c r="BB2" s="15" t="s">
        <v>20</v>
      </c>
      <c r="BC2" s="15" t="s">
        <v>21</v>
      </c>
    </row>
    <row r="3" spans="1:55" x14ac:dyDescent="0.3">
      <c r="A3" s="18" t="s">
        <v>22</v>
      </c>
      <c r="B3" s="19">
        <v>0.6</v>
      </c>
      <c r="C3" s="19">
        <v>0.13</v>
      </c>
      <c r="D3" s="19">
        <f>C3/B3</f>
        <v>0.21666666666666667</v>
      </c>
      <c r="E3" s="19">
        <v>0.215</v>
      </c>
      <c r="F3" s="19">
        <v>1.91</v>
      </c>
      <c r="G3" s="19">
        <f>F3/E3</f>
        <v>8.8837209302325579</v>
      </c>
      <c r="H3" s="19">
        <v>0.4</v>
      </c>
      <c r="I3" s="19">
        <v>0.61</v>
      </c>
      <c r="J3" s="19">
        <f>I3/H3</f>
        <v>1.5249999999999999</v>
      </c>
      <c r="K3" s="19">
        <v>0.08</v>
      </c>
      <c r="L3" s="19">
        <v>0.47</v>
      </c>
      <c r="M3" s="19">
        <f>L3/K3</f>
        <v>5.8749999999999991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>
        <v>0.15</v>
      </c>
      <c r="AM3" s="19">
        <v>0.04</v>
      </c>
      <c r="AN3" s="19">
        <f>AM3/AL3</f>
        <v>0.26666666666666666</v>
      </c>
      <c r="AO3" s="19">
        <v>7.0000000000000007E-2</v>
      </c>
      <c r="AP3" s="19">
        <v>0.05</v>
      </c>
      <c r="AQ3" s="19">
        <f>AP3/AO3</f>
        <v>0.7142857142857143</v>
      </c>
      <c r="AR3" s="19">
        <v>0.16</v>
      </c>
      <c r="AS3" s="19">
        <v>0.01</v>
      </c>
      <c r="AT3" s="19">
        <f>AS3/AR3</f>
        <v>6.25E-2</v>
      </c>
      <c r="AU3" s="19">
        <v>0.06</v>
      </c>
      <c r="AV3" s="19">
        <v>0.35</v>
      </c>
      <c r="AW3" s="19">
        <f>AV3/AU3</f>
        <v>5.833333333333333</v>
      </c>
      <c r="AX3" s="19"/>
      <c r="AY3" s="19"/>
      <c r="AZ3" s="19"/>
      <c r="BA3" s="20">
        <f t="shared" ref="BA3:BB32" si="0">B3+E3+H3+K3+N3+Q3+T3+W3+Z3+AC3+AF3+AI3+AL3+AO3+AR3+AU3+AX3</f>
        <v>1.7349999999999999</v>
      </c>
      <c r="BB3" s="20">
        <f t="shared" si="0"/>
        <v>3.57</v>
      </c>
      <c r="BC3" s="9">
        <f>BB3/BA3</f>
        <v>2.0576368876080693</v>
      </c>
    </row>
    <row r="4" spans="1:55" x14ac:dyDescent="0.3">
      <c r="A4" s="18" t="s">
        <v>23</v>
      </c>
      <c r="B4" s="19">
        <v>0.01</v>
      </c>
      <c r="C4" s="19">
        <v>1E-4</v>
      </c>
      <c r="D4" s="19">
        <f t="shared" ref="D4:D34" si="1">C4/B4</f>
        <v>0.01</v>
      </c>
      <c r="E4" s="19">
        <v>2.3199999999999998</v>
      </c>
      <c r="F4" s="19">
        <v>20</v>
      </c>
      <c r="G4" s="19">
        <f t="shared" ref="G4:G34" si="2">F4/E4</f>
        <v>8.6206896551724146</v>
      </c>
      <c r="H4" s="19">
        <v>210.02</v>
      </c>
      <c r="I4" s="19">
        <v>685.15</v>
      </c>
      <c r="J4" s="19">
        <f t="shared" ref="J4:J34" si="3">I4/H4</f>
        <v>3.2623083515855629</v>
      </c>
      <c r="K4" s="21">
        <v>67.78</v>
      </c>
      <c r="L4" s="21">
        <v>423.22</v>
      </c>
      <c r="M4" s="19">
        <f t="shared" ref="M4:M34" si="4">L4/K4</f>
        <v>6.2440247860725879</v>
      </c>
      <c r="N4" s="19">
        <v>0.4</v>
      </c>
      <c r="O4" s="19">
        <v>1E-3</v>
      </c>
      <c r="P4" s="19">
        <f>O4/N4</f>
        <v>2.5000000000000001E-3</v>
      </c>
      <c r="Q4" s="19"/>
      <c r="R4" s="19"/>
      <c r="S4" s="19"/>
      <c r="T4" s="19">
        <v>20.8</v>
      </c>
      <c r="U4" s="19">
        <v>26</v>
      </c>
      <c r="V4" s="19">
        <f>U4/T4</f>
        <v>1.25</v>
      </c>
      <c r="W4" s="19"/>
      <c r="X4" s="19"/>
      <c r="Y4" s="19"/>
      <c r="Z4" s="19"/>
      <c r="AA4" s="19"/>
      <c r="AB4" s="19"/>
      <c r="AC4" s="19"/>
      <c r="AD4" s="19"/>
      <c r="AE4" s="19"/>
      <c r="AF4" s="19">
        <v>5.08</v>
      </c>
      <c r="AG4" s="19">
        <v>2.4</v>
      </c>
      <c r="AH4" s="19">
        <f>AG4/AF4</f>
        <v>0.47244094488188976</v>
      </c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>
        <v>6.2</v>
      </c>
      <c r="AV4" s="19">
        <v>30.9</v>
      </c>
      <c r="AW4" s="19">
        <f t="shared" ref="AW4:AW34" si="5">AV4/AU4</f>
        <v>4.9838709677419351</v>
      </c>
      <c r="AX4" s="19">
        <v>0.01</v>
      </c>
      <c r="AY4" s="19">
        <v>0.01</v>
      </c>
      <c r="AZ4" s="19">
        <f>AY4/AX4</f>
        <v>1</v>
      </c>
      <c r="BA4" s="20">
        <f t="shared" si="0"/>
        <v>312.61999999999995</v>
      </c>
      <c r="BB4" s="20">
        <f t="shared" si="0"/>
        <v>1187.6811000000002</v>
      </c>
      <c r="BC4" s="9">
        <f t="shared" ref="BC4:BC34" si="6">BB4/BA4</f>
        <v>3.7991206576674572</v>
      </c>
    </row>
    <row r="5" spans="1:55" x14ac:dyDescent="0.3">
      <c r="A5" s="22" t="s">
        <v>24</v>
      </c>
      <c r="B5" s="19"/>
      <c r="C5" s="19"/>
      <c r="D5" s="19"/>
      <c r="E5" s="19">
        <v>7</v>
      </c>
      <c r="F5" s="19">
        <v>57</v>
      </c>
      <c r="G5" s="19">
        <f t="shared" si="2"/>
        <v>8.1428571428571423</v>
      </c>
      <c r="H5" s="19">
        <v>2.5</v>
      </c>
      <c r="I5" s="19">
        <v>4.4000000000000004</v>
      </c>
      <c r="J5" s="19">
        <f t="shared" si="3"/>
        <v>1.7600000000000002</v>
      </c>
      <c r="K5" s="19">
        <v>0.64</v>
      </c>
      <c r="L5" s="19">
        <v>2.86</v>
      </c>
      <c r="M5" s="19">
        <f t="shared" si="4"/>
        <v>4.46875</v>
      </c>
      <c r="N5" s="19">
        <v>0.03</v>
      </c>
      <c r="O5" s="19">
        <v>0.01</v>
      </c>
      <c r="P5" s="19">
        <f>O5/N5</f>
        <v>0.33333333333333337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20">
        <f t="shared" si="0"/>
        <v>10.17</v>
      </c>
      <c r="BB5" s="20">
        <f t="shared" si="0"/>
        <v>64.27000000000001</v>
      </c>
      <c r="BC5" s="9">
        <f t="shared" si="6"/>
        <v>6.319567354965586</v>
      </c>
    </row>
    <row r="6" spans="1:55" x14ac:dyDescent="0.3">
      <c r="A6" s="18" t="s">
        <v>25</v>
      </c>
      <c r="B6" s="19">
        <v>3.72</v>
      </c>
      <c r="C6" s="19">
        <v>1.99</v>
      </c>
      <c r="D6" s="19">
        <f t="shared" si="1"/>
        <v>0.53494623655913975</v>
      </c>
      <c r="E6" s="19">
        <v>17.838999999999999</v>
      </c>
      <c r="F6" s="19">
        <v>136.83000000000001</v>
      </c>
      <c r="G6" s="19">
        <f t="shared" si="2"/>
        <v>7.6702729973653243</v>
      </c>
      <c r="H6" s="19">
        <v>20.59</v>
      </c>
      <c r="I6" s="19">
        <v>15.96</v>
      </c>
      <c r="J6" s="19">
        <f t="shared" si="3"/>
        <v>0.77513355998057309</v>
      </c>
      <c r="K6" s="19">
        <v>16.239999999999998</v>
      </c>
      <c r="L6" s="19">
        <v>15.43</v>
      </c>
      <c r="M6" s="19">
        <f t="shared" si="4"/>
        <v>0.95012315270935965</v>
      </c>
      <c r="N6" s="19">
        <v>9.98</v>
      </c>
      <c r="O6" s="19">
        <v>67.790000000000006</v>
      </c>
      <c r="P6" s="19">
        <f>O6/N6</f>
        <v>6.7925851703406819</v>
      </c>
      <c r="Q6" s="19"/>
      <c r="R6" s="19"/>
      <c r="S6" s="19"/>
      <c r="T6" s="19">
        <v>28.29</v>
      </c>
      <c r="U6" s="19">
        <v>49.5</v>
      </c>
      <c r="V6" s="19">
        <f>U6/T6</f>
        <v>1.7497348886532345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20">
        <f t="shared" si="0"/>
        <v>96.658999999999992</v>
      </c>
      <c r="BB6" s="20">
        <f t="shared" si="0"/>
        <v>287.50000000000006</v>
      </c>
      <c r="BC6" s="9">
        <f t="shared" si="6"/>
        <v>2.9743738296485591</v>
      </c>
    </row>
    <row r="7" spans="1:55" x14ac:dyDescent="0.3">
      <c r="A7" s="18" t="s">
        <v>26</v>
      </c>
      <c r="B7" s="19"/>
      <c r="C7" s="19"/>
      <c r="D7" s="19"/>
      <c r="E7" s="19">
        <v>0.56000000000000005</v>
      </c>
      <c r="F7" s="19">
        <v>0.84</v>
      </c>
      <c r="G7" s="19">
        <f t="shared" si="2"/>
        <v>1.4999999999999998</v>
      </c>
      <c r="H7" s="19">
        <v>2.9</v>
      </c>
      <c r="I7" s="19">
        <v>3</v>
      </c>
      <c r="J7" s="19">
        <f t="shared" si="3"/>
        <v>1.0344827586206897</v>
      </c>
      <c r="K7" s="19">
        <v>3</v>
      </c>
      <c r="L7" s="19">
        <v>3</v>
      </c>
      <c r="M7" s="19">
        <f t="shared" si="4"/>
        <v>1</v>
      </c>
      <c r="N7" s="19">
        <v>4.25</v>
      </c>
      <c r="O7" s="19">
        <v>4</v>
      </c>
      <c r="P7" s="19">
        <f>O7/N7</f>
        <v>0.94117647058823528</v>
      </c>
      <c r="Q7" s="19"/>
      <c r="R7" s="19"/>
      <c r="S7" s="19"/>
      <c r="T7" s="19">
        <v>2.2999999999999998</v>
      </c>
      <c r="U7" s="19">
        <v>1.7</v>
      </c>
      <c r="V7" s="19">
        <f t="shared" ref="V7:V34" si="7">U7/T7</f>
        <v>0.73913043478260876</v>
      </c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20">
        <f t="shared" si="0"/>
        <v>13.010000000000002</v>
      </c>
      <c r="BB7" s="20">
        <f t="shared" si="0"/>
        <v>12.54</v>
      </c>
      <c r="BC7" s="9">
        <f t="shared" si="6"/>
        <v>0.9638739431206762</v>
      </c>
    </row>
    <row r="8" spans="1:55" x14ac:dyDescent="0.3">
      <c r="A8" s="18" t="s">
        <v>53</v>
      </c>
      <c r="B8" s="19"/>
      <c r="C8" s="19"/>
      <c r="D8" s="19"/>
      <c r="E8" s="19">
        <v>1.907</v>
      </c>
      <c r="F8" s="19">
        <v>2.3199999999999998</v>
      </c>
      <c r="G8" s="19">
        <f t="shared" si="2"/>
        <v>1.2165705296276874</v>
      </c>
      <c r="H8" s="19">
        <v>5.46</v>
      </c>
      <c r="I8" s="19">
        <v>8.3000000000000007</v>
      </c>
      <c r="J8" s="19">
        <f t="shared" si="3"/>
        <v>1.5201465201465203</v>
      </c>
      <c r="K8" s="19">
        <v>0.93</v>
      </c>
      <c r="L8" s="19">
        <v>0.82</v>
      </c>
      <c r="M8" s="19">
        <f t="shared" si="4"/>
        <v>0.88172043010752676</v>
      </c>
      <c r="N8" s="19">
        <v>1.1499999999999999</v>
      </c>
      <c r="O8" s="19">
        <v>3.09</v>
      </c>
      <c r="P8" s="19">
        <f>O8/N8</f>
        <v>2.6869565217391305</v>
      </c>
      <c r="Q8" s="19"/>
      <c r="R8" s="19"/>
      <c r="S8" s="19"/>
      <c r="T8" s="19">
        <v>2.86</v>
      </c>
      <c r="U8" s="19">
        <v>0.84</v>
      </c>
      <c r="V8" s="19">
        <f t="shared" si="7"/>
        <v>0.2937062937062937</v>
      </c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20">
        <f t="shared" si="0"/>
        <v>12.307</v>
      </c>
      <c r="BB8" s="20">
        <f t="shared" si="0"/>
        <v>15.370000000000001</v>
      </c>
      <c r="BC8" s="9">
        <f t="shared" si="6"/>
        <v>1.2488827496546682</v>
      </c>
    </row>
    <row r="9" spans="1:55" x14ac:dyDescent="0.3">
      <c r="A9" s="18" t="s">
        <v>28</v>
      </c>
      <c r="B9" s="19">
        <v>0.73</v>
      </c>
      <c r="C9" s="19">
        <v>0.23</v>
      </c>
      <c r="D9" s="19">
        <f t="shared" si="1"/>
        <v>0.31506849315068497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>
        <f t="shared" si="0"/>
        <v>0.73</v>
      </c>
      <c r="BB9" s="20">
        <f t="shared" si="0"/>
        <v>0.23</v>
      </c>
      <c r="BC9" s="9">
        <f t="shared" si="6"/>
        <v>0.31506849315068497</v>
      </c>
    </row>
    <row r="10" spans="1:55" x14ac:dyDescent="0.3">
      <c r="A10" s="18" t="s">
        <v>29</v>
      </c>
      <c r="B10" s="19"/>
      <c r="C10" s="19"/>
      <c r="D10" s="19"/>
      <c r="E10" s="19">
        <v>4.3949999999999996</v>
      </c>
      <c r="F10" s="19">
        <v>70.650000000000006</v>
      </c>
      <c r="G10" s="19">
        <f t="shared" si="2"/>
        <v>16.075085324232084</v>
      </c>
      <c r="H10" s="19">
        <v>43.4</v>
      </c>
      <c r="I10" s="19">
        <v>68.53</v>
      </c>
      <c r="J10" s="19">
        <f t="shared" si="3"/>
        <v>1.5790322580645162</v>
      </c>
      <c r="K10" s="19">
        <v>2.98</v>
      </c>
      <c r="L10" s="19">
        <v>50.49</v>
      </c>
      <c r="M10" s="19">
        <f t="shared" si="4"/>
        <v>16.94295302013423</v>
      </c>
      <c r="N10" s="19">
        <v>39.200000000000003</v>
      </c>
      <c r="O10" s="19">
        <v>277.45999999999998</v>
      </c>
      <c r="P10" s="19">
        <f>O10/N10</f>
        <v>7.0780612244897947</v>
      </c>
      <c r="Q10" s="19"/>
      <c r="R10" s="19"/>
      <c r="S10" s="19"/>
      <c r="T10" s="19">
        <v>20.57</v>
      </c>
      <c r="U10" s="19">
        <v>32.31</v>
      </c>
      <c r="V10" s="19">
        <f t="shared" si="7"/>
        <v>1.5707340787554691</v>
      </c>
      <c r="W10" s="19">
        <v>373.9</v>
      </c>
      <c r="X10" s="19">
        <v>283.3</v>
      </c>
      <c r="Y10" s="19">
        <f>X10/W10</f>
        <v>0.75768922171703668</v>
      </c>
      <c r="Z10" s="19">
        <v>39.5</v>
      </c>
      <c r="AA10" s="19">
        <v>57.94</v>
      </c>
      <c r="AB10" s="19">
        <f>AA10/Z10</f>
        <v>1.4668354430379746</v>
      </c>
      <c r="AC10" s="19">
        <v>5.26</v>
      </c>
      <c r="AD10" s="19">
        <v>13.96</v>
      </c>
      <c r="AE10" s="19">
        <f>AD10/AC10</f>
        <v>2.6539923954372626</v>
      </c>
      <c r="AF10" s="19">
        <v>5.87</v>
      </c>
      <c r="AG10" s="19">
        <v>6.37</v>
      </c>
      <c r="AH10" s="19">
        <f t="shared" ref="AH10:AH34" si="8">AG10/AF10</f>
        <v>1.0851788756388416</v>
      </c>
      <c r="AI10" s="19">
        <v>16.600000000000001</v>
      </c>
      <c r="AJ10" s="19">
        <v>21.13</v>
      </c>
      <c r="AK10" s="19">
        <f>AJ10/AI10</f>
        <v>1.2728915662650602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20">
        <f t="shared" si="0"/>
        <v>551.67499999999995</v>
      </c>
      <c r="BB10" s="20">
        <f t="shared" si="0"/>
        <v>882.1400000000001</v>
      </c>
      <c r="BC10" s="9">
        <f t="shared" si="6"/>
        <v>1.5990211628223141</v>
      </c>
    </row>
    <row r="11" spans="1:55" x14ac:dyDescent="0.3">
      <c r="A11" s="18" t="s">
        <v>30</v>
      </c>
      <c r="B11" s="19"/>
      <c r="C11" s="19"/>
      <c r="D11" s="19"/>
      <c r="E11" s="19">
        <v>0.44500000000000001</v>
      </c>
      <c r="F11" s="19">
        <v>5.65</v>
      </c>
      <c r="G11" s="19">
        <f t="shared" si="2"/>
        <v>12.696629213483147</v>
      </c>
      <c r="H11" s="19">
        <v>2.4300000000000002</v>
      </c>
      <c r="I11" s="19">
        <v>4.22</v>
      </c>
      <c r="J11" s="19">
        <f t="shared" si="3"/>
        <v>1.736625514403292</v>
      </c>
      <c r="K11" s="19">
        <v>1.33</v>
      </c>
      <c r="L11" s="19">
        <v>23.84</v>
      </c>
      <c r="M11" s="19">
        <f t="shared" si="4"/>
        <v>17.924812030075188</v>
      </c>
      <c r="N11" s="19">
        <v>4.4400000000000004</v>
      </c>
      <c r="O11" s="19">
        <v>35.83</v>
      </c>
      <c r="P11" s="19">
        <f>O11/N11</f>
        <v>8.0698198198198181</v>
      </c>
      <c r="Q11" s="19"/>
      <c r="R11" s="19"/>
      <c r="S11" s="19"/>
      <c r="T11" s="19">
        <v>2.4300000000000002</v>
      </c>
      <c r="U11" s="19">
        <v>4.41</v>
      </c>
      <c r="V11" s="19">
        <f t="shared" si="7"/>
        <v>1.8148148148148147</v>
      </c>
      <c r="W11" s="19"/>
      <c r="X11" s="19"/>
      <c r="Y11" s="19"/>
      <c r="Z11" s="19">
        <v>0.27</v>
      </c>
      <c r="AA11" s="19">
        <v>0.17</v>
      </c>
      <c r="AB11" s="19">
        <f>AA11/Z11</f>
        <v>0.62962962962962965</v>
      </c>
      <c r="AC11" s="19">
        <v>4.78</v>
      </c>
      <c r="AD11" s="19">
        <v>8.6999999999999993</v>
      </c>
      <c r="AE11" s="19">
        <f t="shared" ref="AE11:AE34" si="9">AD11/AC11</f>
        <v>1.8200836820083679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>
        <f t="shared" si="0"/>
        <v>16.125</v>
      </c>
      <c r="BB11" s="20">
        <f t="shared" si="0"/>
        <v>82.82</v>
      </c>
      <c r="BC11" s="9">
        <f t="shared" si="6"/>
        <v>5.1361240310077516</v>
      </c>
    </row>
    <row r="12" spans="1:55" x14ac:dyDescent="0.3">
      <c r="A12" s="18" t="s">
        <v>31</v>
      </c>
      <c r="B12" s="19"/>
      <c r="C12" s="19"/>
      <c r="D12" s="19"/>
      <c r="E12" s="19">
        <v>2.0979999999999999</v>
      </c>
      <c r="F12" s="19">
        <v>3.74</v>
      </c>
      <c r="G12" s="19">
        <f t="shared" si="2"/>
        <v>1.7826501429933272</v>
      </c>
      <c r="H12" s="19">
        <v>0.63</v>
      </c>
      <c r="I12" s="19">
        <v>0.2</v>
      </c>
      <c r="J12" s="19">
        <f t="shared" si="3"/>
        <v>0.3174603174603175</v>
      </c>
      <c r="K12" s="19">
        <v>0.2</v>
      </c>
      <c r="L12" s="19">
        <v>0.11</v>
      </c>
      <c r="M12" s="19">
        <f t="shared" si="4"/>
        <v>0.54999999999999993</v>
      </c>
      <c r="N12" s="19">
        <v>4.1500000000000004</v>
      </c>
      <c r="O12" s="19">
        <v>6.14</v>
      </c>
      <c r="P12" s="19">
        <f>O12/N12</f>
        <v>1.4795180722891563</v>
      </c>
      <c r="Q12" s="19"/>
      <c r="R12" s="19"/>
      <c r="S12" s="19"/>
      <c r="T12" s="19">
        <v>0.14000000000000001</v>
      </c>
      <c r="U12" s="19">
        <v>0.05</v>
      </c>
      <c r="V12" s="19">
        <f t="shared" si="7"/>
        <v>0.35714285714285715</v>
      </c>
      <c r="W12" s="19">
        <v>0.08</v>
      </c>
      <c r="X12" s="19">
        <v>0.02</v>
      </c>
      <c r="Y12" s="19">
        <f>X12/W12</f>
        <v>0.25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20">
        <f t="shared" si="0"/>
        <v>7.298</v>
      </c>
      <c r="BB12" s="20">
        <f t="shared" si="0"/>
        <v>10.260000000000002</v>
      </c>
      <c r="BC12" s="9">
        <f t="shared" si="6"/>
        <v>1.4058646204439575</v>
      </c>
    </row>
    <row r="13" spans="1:55" x14ac:dyDescent="0.3">
      <c r="A13" s="18" t="s">
        <v>32</v>
      </c>
      <c r="B13" s="19"/>
      <c r="C13" s="19"/>
      <c r="D13" s="19"/>
      <c r="E13" s="19">
        <v>3.4000000000000002E-2</v>
      </c>
      <c r="F13" s="19">
        <v>0.04</v>
      </c>
      <c r="G13" s="19">
        <f t="shared" si="2"/>
        <v>1.1764705882352942</v>
      </c>
      <c r="H13" s="19">
        <v>0.56000000000000005</v>
      </c>
      <c r="I13" s="19">
        <v>0.54</v>
      </c>
      <c r="J13" s="19">
        <f t="shared" si="3"/>
        <v>0.9642857142857143</v>
      </c>
      <c r="K13" s="19">
        <v>0.02</v>
      </c>
      <c r="L13" s="19">
        <v>0.02</v>
      </c>
      <c r="M13" s="19">
        <f t="shared" si="4"/>
        <v>1</v>
      </c>
      <c r="N13" s="19">
        <v>0.54</v>
      </c>
      <c r="O13" s="19">
        <v>0.46</v>
      </c>
      <c r="P13" s="19">
        <f>O13/N13</f>
        <v>0.85185185185185186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>
        <v>2.99</v>
      </c>
      <c r="AY13" s="19">
        <v>0.01</v>
      </c>
      <c r="AZ13" s="19">
        <f t="shared" ref="AZ13:AZ28" si="10">AY13/AX13</f>
        <v>3.3444816053511705E-3</v>
      </c>
      <c r="BA13" s="20">
        <f t="shared" si="0"/>
        <v>4.1440000000000001</v>
      </c>
      <c r="BB13" s="20">
        <f t="shared" si="0"/>
        <v>1.07</v>
      </c>
      <c r="BC13" s="9">
        <f t="shared" si="6"/>
        <v>0.25820463320463322</v>
      </c>
    </row>
    <row r="14" spans="1:55" x14ac:dyDescent="0.3">
      <c r="A14" s="18" t="s">
        <v>33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20">
        <f t="shared" si="0"/>
        <v>0</v>
      </c>
      <c r="BB14" s="20">
        <f t="shared" si="0"/>
        <v>0</v>
      </c>
      <c r="BC14" s="9"/>
    </row>
    <row r="15" spans="1:55" x14ac:dyDescent="0.3">
      <c r="A15" s="18" t="s">
        <v>34</v>
      </c>
      <c r="B15" s="19">
        <v>27.01</v>
      </c>
      <c r="C15" s="19">
        <v>6.15</v>
      </c>
      <c r="D15" s="19">
        <f t="shared" si="1"/>
        <v>0.22769344687152906</v>
      </c>
      <c r="E15" s="19">
        <v>16.513999999999999</v>
      </c>
      <c r="F15" s="19">
        <v>57.8</v>
      </c>
      <c r="G15" s="19">
        <f t="shared" si="2"/>
        <v>3.5000605546808767</v>
      </c>
      <c r="H15" s="19">
        <v>100.73</v>
      </c>
      <c r="I15" s="19">
        <v>107</v>
      </c>
      <c r="J15" s="19">
        <f t="shared" si="3"/>
        <v>1.0622456070684005</v>
      </c>
      <c r="K15" s="19">
        <v>16.100000000000001</v>
      </c>
      <c r="L15" s="19">
        <v>100</v>
      </c>
      <c r="M15" s="19">
        <f t="shared" si="4"/>
        <v>6.2111801242236018</v>
      </c>
      <c r="N15" s="19">
        <v>4.22</v>
      </c>
      <c r="O15" s="19">
        <v>4.5</v>
      </c>
      <c r="P15" s="19">
        <f t="shared" ref="P15:P23" si="11">O15/N15</f>
        <v>1.066350710900474</v>
      </c>
      <c r="Q15" s="19">
        <v>25.05</v>
      </c>
      <c r="R15" s="19">
        <v>1.58</v>
      </c>
      <c r="S15" s="19">
        <f>R15/Q15</f>
        <v>6.3073852295409183E-2</v>
      </c>
      <c r="T15" s="19">
        <v>4.5</v>
      </c>
      <c r="U15" s="19">
        <v>4.5</v>
      </c>
      <c r="V15" s="19">
        <f t="shared" si="7"/>
        <v>1</v>
      </c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>
        <v>0.04</v>
      </c>
      <c r="AM15" s="19">
        <v>0.01</v>
      </c>
      <c r="AN15" s="19">
        <f t="shared" ref="AN15:AN34" si="12">AM15/AL15</f>
        <v>0.25</v>
      </c>
      <c r="AO15" s="19">
        <v>0.15</v>
      </c>
      <c r="AP15" s="19">
        <v>0.15</v>
      </c>
      <c r="AQ15" s="19">
        <f>AP15/AO15</f>
        <v>1</v>
      </c>
      <c r="AR15" s="19">
        <v>0.12</v>
      </c>
      <c r="AS15" s="19">
        <v>0.17</v>
      </c>
      <c r="AT15" s="19">
        <f>AS15/AR15</f>
        <v>1.4166666666666667</v>
      </c>
      <c r="AU15" s="19">
        <v>16.8</v>
      </c>
      <c r="AV15" s="19">
        <v>87</v>
      </c>
      <c r="AW15" s="19">
        <f t="shared" si="5"/>
        <v>5.1785714285714279</v>
      </c>
      <c r="AX15" s="19">
        <v>2.52</v>
      </c>
      <c r="AY15" s="19">
        <v>0.99</v>
      </c>
      <c r="AZ15" s="19">
        <f t="shared" si="10"/>
        <v>0.39285714285714285</v>
      </c>
      <c r="BA15" s="20">
        <f t="shared" si="0"/>
        <v>213.75400000000005</v>
      </c>
      <c r="BB15" s="20">
        <f t="shared" si="0"/>
        <v>369.84999999999997</v>
      </c>
      <c r="BC15" s="9">
        <f t="shared" si="6"/>
        <v>1.7302600185259687</v>
      </c>
    </row>
    <row r="16" spans="1:55" x14ac:dyDescent="0.3">
      <c r="A16" s="18" t="s">
        <v>35</v>
      </c>
      <c r="B16" s="19">
        <v>86.79</v>
      </c>
      <c r="C16" s="19">
        <v>42.49</v>
      </c>
      <c r="D16" s="19">
        <f t="shared" si="1"/>
        <v>0.48957253139762646</v>
      </c>
      <c r="E16" s="19">
        <v>6.3579999999999997</v>
      </c>
      <c r="F16" s="19">
        <v>33.75</v>
      </c>
      <c r="G16" s="19">
        <f t="shared" si="2"/>
        <v>5.3082730418370563</v>
      </c>
      <c r="H16" s="19">
        <v>1.91</v>
      </c>
      <c r="I16" s="19">
        <v>3.1</v>
      </c>
      <c r="J16" s="19">
        <f t="shared" si="3"/>
        <v>1.6230366492146597</v>
      </c>
      <c r="K16" s="19">
        <v>2.73</v>
      </c>
      <c r="L16" s="19">
        <v>7.06</v>
      </c>
      <c r="M16" s="19">
        <f t="shared" si="4"/>
        <v>2.5860805860805858</v>
      </c>
      <c r="N16" s="19">
        <v>7.0000000000000007E-2</v>
      </c>
      <c r="O16" s="19">
        <v>0.72</v>
      </c>
      <c r="P16" s="19">
        <f t="shared" si="11"/>
        <v>10.285714285714285</v>
      </c>
      <c r="Q16" s="19">
        <v>39.659999999999997</v>
      </c>
      <c r="R16" s="19">
        <v>10.08</v>
      </c>
      <c r="S16" s="19">
        <f>R16/Q16</f>
        <v>0.25416036308623302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>
        <v>0.32</v>
      </c>
      <c r="AM16" s="19">
        <v>1E-3</v>
      </c>
      <c r="AN16" s="19">
        <f t="shared" si="12"/>
        <v>3.1250000000000002E-3</v>
      </c>
      <c r="AO16" s="19">
        <v>17.22</v>
      </c>
      <c r="AP16" s="19">
        <v>12.42</v>
      </c>
      <c r="AQ16" s="19">
        <f>AP16/AO16</f>
        <v>0.72125435540069693</v>
      </c>
      <c r="AR16" s="19">
        <v>1.23</v>
      </c>
      <c r="AS16" s="19">
        <v>0.1</v>
      </c>
      <c r="AT16" s="19">
        <f>AS16/AR16</f>
        <v>8.1300813008130093E-2</v>
      </c>
      <c r="AU16" s="19">
        <v>12.71</v>
      </c>
      <c r="AV16" s="19">
        <v>19.100000000000001</v>
      </c>
      <c r="AW16" s="19">
        <f t="shared" si="5"/>
        <v>1.5027537372147914</v>
      </c>
      <c r="AX16" s="19">
        <v>1.01</v>
      </c>
      <c r="AY16" s="19">
        <v>0.04</v>
      </c>
      <c r="AZ16" s="19">
        <f t="shared" si="10"/>
        <v>3.9603960396039604E-2</v>
      </c>
      <c r="BA16" s="20">
        <f t="shared" si="0"/>
        <v>170.00799999999998</v>
      </c>
      <c r="BB16" s="20">
        <f t="shared" si="0"/>
        <v>128.86099999999999</v>
      </c>
      <c r="BC16" s="9">
        <f t="shared" si="6"/>
        <v>0.7579702131664392</v>
      </c>
    </row>
    <row r="17" spans="1:55" x14ac:dyDescent="0.3">
      <c r="A17" s="18" t="s">
        <v>36</v>
      </c>
      <c r="B17" s="19"/>
      <c r="C17" s="19"/>
      <c r="D17" s="19"/>
      <c r="E17" s="19">
        <v>9</v>
      </c>
      <c r="F17" s="19">
        <v>15</v>
      </c>
      <c r="G17" s="19">
        <f t="shared" si="2"/>
        <v>1.6666666666666667</v>
      </c>
      <c r="H17" s="19">
        <v>54.41</v>
      </c>
      <c r="I17" s="19">
        <v>93.57</v>
      </c>
      <c r="J17" s="19">
        <f t="shared" si="3"/>
        <v>1.7197206395883109</v>
      </c>
      <c r="K17" s="19">
        <v>1.5</v>
      </c>
      <c r="L17" s="19">
        <v>0.6</v>
      </c>
      <c r="M17" s="19">
        <f t="shared" si="4"/>
        <v>0.39999999999999997</v>
      </c>
      <c r="N17" s="19">
        <v>60</v>
      </c>
      <c r="O17" s="19">
        <v>270</v>
      </c>
      <c r="P17" s="19">
        <f t="shared" si="11"/>
        <v>4.5</v>
      </c>
      <c r="Q17" s="19"/>
      <c r="R17" s="19"/>
      <c r="S17" s="19"/>
      <c r="T17" s="19">
        <v>175</v>
      </c>
      <c r="U17" s="19">
        <v>82</v>
      </c>
      <c r="V17" s="19">
        <f t="shared" si="7"/>
        <v>0.46857142857142858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20">
        <f t="shared" si="0"/>
        <v>299.90999999999997</v>
      </c>
      <c r="BB17" s="20">
        <f t="shared" si="0"/>
        <v>461.16999999999996</v>
      </c>
      <c r="BC17" s="9">
        <f t="shared" si="6"/>
        <v>1.537694641725851</v>
      </c>
    </row>
    <row r="18" spans="1:55" x14ac:dyDescent="0.3">
      <c r="A18" s="18" t="s">
        <v>37</v>
      </c>
      <c r="B18" s="19"/>
      <c r="C18" s="19"/>
      <c r="D18" s="19"/>
      <c r="E18" s="19">
        <v>1.06</v>
      </c>
      <c r="F18" s="19">
        <v>1.04</v>
      </c>
      <c r="G18" s="19">
        <f t="shared" si="2"/>
        <v>0.98113207547169812</v>
      </c>
      <c r="H18" s="19">
        <v>99.5</v>
      </c>
      <c r="I18" s="19">
        <v>45.6</v>
      </c>
      <c r="J18" s="19">
        <f t="shared" si="3"/>
        <v>0.45829145728643217</v>
      </c>
      <c r="K18" s="19">
        <v>11</v>
      </c>
      <c r="L18" s="19">
        <v>11</v>
      </c>
      <c r="M18" s="19">
        <f t="shared" si="4"/>
        <v>1</v>
      </c>
      <c r="N18" s="19">
        <v>3.5</v>
      </c>
      <c r="O18" s="19">
        <v>40</v>
      </c>
      <c r="P18" s="19">
        <f t="shared" si="11"/>
        <v>11.428571428571429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>
        <v>5.7</v>
      </c>
      <c r="AV18" s="19">
        <v>11.4</v>
      </c>
      <c r="AW18" s="19">
        <f t="shared" si="5"/>
        <v>2</v>
      </c>
      <c r="AX18" s="19"/>
      <c r="AY18" s="19"/>
      <c r="AZ18" s="19"/>
      <c r="BA18" s="20">
        <f t="shared" si="0"/>
        <v>120.76</v>
      </c>
      <c r="BB18" s="20">
        <f t="shared" si="0"/>
        <v>109.04</v>
      </c>
      <c r="BC18" s="9">
        <f t="shared" si="6"/>
        <v>0.90294799602517395</v>
      </c>
    </row>
    <row r="19" spans="1:55" x14ac:dyDescent="0.3">
      <c r="A19" s="23" t="s">
        <v>38</v>
      </c>
      <c r="B19" s="19"/>
      <c r="C19" s="19"/>
      <c r="D19" s="19"/>
      <c r="E19" s="19">
        <v>2.4</v>
      </c>
      <c r="F19" s="19">
        <v>3.84</v>
      </c>
      <c r="G19" s="19">
        <f t="shared" si="2"/>
        <v>1.6</v>
      </c>
      <c r="H19" s="19">
        <v>6.5</v>
      </c>
      <c r="I19" s="19">
        <v>3.9</v>
      </c>
      <c r="J19" s="19">
        <f t="shared" si="3"/>
        <v>0.6</v>
      </c>
      <c r="K19" s="19">
        <v>1.4</v>
      </c>
      <c r="L19" s="19">
        <v>16.399999999999999</v>
      </c>
      <c r="M19" s="19">
        <f t="shared" si="4"/>
        <v>11.714285714285714</v>
      </c>
      <c r="N19" s="19">
        <v>0.17</v>
      </c>
      <c r="O19" s="19">
        <v>1E-3</v>
      </c>
      <c r="P19" s="19">
        <f t="shared" si="11"/>
        <v>5.8823529411764705E-3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20">
        <f t="shared" si="0"/>
        <v>10.47</v>
      </c>
      <c r="BB19" s="20">
        <f t="shared" si="0"/>
        <v>24.141000000000002</v>
      </c>
      <c r="BC19" s="9">
        <f t="shared" si="6"/>
        <v>2.3057306590257878</v>
      </c>
    </row>
    <row r="20" spans="1:55" x14ac:dyDescent="0.3">
      <c r="A20" s="18" t="s">
        <v>39</v>
      </c>
      <c r="B20" s="19">
        <v>0.89</v>
      </c>
      <c r="C20" s="19">
        <v>0.46</v>
      </c>
      <c r="D20" s="19">
        <f t="shared" si="1"/>
        <v>0.5168539325842697</v>
      </c>
      <c r="E20" s="19">
        <v>9.4420000000000002</v>
      </c>
      <c r="F20" s="19">
        <v>56.8</v>
      </c>
      <c r="G20" s="19">
        <f t="shared" si="2"/>
        <v>6.0156746452022869</v>
      </c>
      <c r="H20" s="19">
        <v>1.85</v>
      </c>
      <c r="I20" s="19">
        <v>1.41</v>
      </c>
      <c r="J20" s="19">
        <f t="shared" si="3"/>
        <v>0.76216216216216204</v>
      </c>
      <c r="K20" s="19">
        <v>1.94</v>
      </c>
      <c r="L20" s="19">
        <v>9.98</v>
      </c>
      <c r="M20" s="19">
        <f t="shared" si="4"/>
        <v>5.1443298969072169</v>
      </c>
      <c r="N20" s="19">
        <v>0.28000000000000003</v>
      </c>
      <c r="O20" s="19">
        <v>1.1100000000000001</v>
      </c>
      <c r="P20" s="19">
        <f t="shared" si="11"/>
        <v>3.9642857142857144</v>
      </c>
      <c r="Q20" s="19"/>
      <c r="R20" s="19"/>
      <c r="S20" s="19"/>
      <c r="T20" s="19">
        <v>0.01</v>
      </c>
      <c r="U20" s="19">
        <v>0.05</v>
      </c>
      <c r="V20" s="19">
        <f t="shared" si="7"/>
        <v>5</v>
      </c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>
        <v>2.44</v>
      </c>
      <c r="AM20" s="19">
        <v>5</v>
      </c>
      <c r="AN20" s="19">
        <f t="shared" si="12"/>
        <v>2.0491803278688523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20">
        <f t="shared" si="0"/>
        <v>16.852</v>
      </c>
      <c r="BB20" s="20">
        <f t="shared" si="0"/>
        <v>74.809999999999988</v>
      </c>
      <c r="BC20" s="9">
        <f t="shared" si="6"/>
        <v>4.4392356990268214</v>
      </c>
    </row>
    <row r="21" spans="1:55" x14ac:dyDescent="0.3">
      <c r="A21" s="18" t="s">
        <v>40</v>
      </c>
      <c r="B21" s="19">
        <v>7.0000000000000007E-2</v>
      </c>
      <c r="C21" s="19">
        <v>0.01</v>
      </c>
      <c r="D21" s="19">
        <f t="shared" si="1"/>
        <v>0.14285714285714285</v>
      </c>
      <c r="E21" s="19">
        <v>7.28</v>
      </c>
      <c r="F21" s="19">
        <v>28.39</v>
      </c>
      <c r="G21" s="19">
        <f t="shared" si="2"/>
        <v>3.8997252747252746</v>
      </c>
      <c r="H21" s="19">
        <v>9.02</v>
      </c>
      <c r="I21" s="19">
        <v>8.2100000000000009</v>
      </c>
      <c r="J21" s="19">
        <f t="shared" si="3"/>
        <v>0.91019955654102014</v>
      </c>
      <c r="K21" s="19">
        <v>6.05</v>
      </c>
      <c r="L21" s="19">
        <v>22.99</v>
      </c>
      <c r="M21" s="19">
        <f t="shared" si="4"/>
        <v>3.8</v>
      </c>
      <c r="N21" s="19">
        <v>0.02</v>
      </c>
      <c r="O21" s="19">
        <v>0.01</v>
      </c>
      <c r="P21" s="19">
        <f t="shared" si="11"/>
        <v>0.5</v>
      </c>
      <c r="Q21" s="19"/>
      <c r="R21" s="19"/>
      <c r="S21" s="19"/>
      <c r="T21" s="19">
        <v>0.03</v>
      </c>
      <c r="U21" s="19">
        <v>0.01</v>
      </c>
      <c r="V21" s="19">
        <f t="shared" si="7"/>
        <v>0.33333333333333337</v>
      </c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20">
        <f t="shared" si="0"/>
        <v>22.470000000000002</v>
      </c>
      <c r="BB21" s="20">
        <f t="shared" si="0"/>
        <v>59.61999999999999</v>
      </c>
      <c r="BC21" s="9">
        <f t="shared" si="6"/>
        <v>2.653315531820204</v>
      </c>
    </row>
    <row r="22" spans="1:55" x14ac:dyDescent="0.3">
      <c r="A22" s="22" t="s">
        <v>41</v>
      </c>
      <c r="B22" s="19">
        <v>0.23</v>
      </c>
      <c r="C22" s="19">
        <v>0.01</v>
      </c>
      <c r="D22" s="19">
        <f t="shared" si="1"/>
        <v>4.3478260869565216E-2</v>
      </c>
      <c r="E22" s="19">
        <v>5.32</v>
      </c>
      <c r="F22" s="19">
        <v>36</v>
      </c>
      <c r="G22" s="19">
        <f t="shared" si="2"/>
        <v>6.7669172932330826</v>
      </c>
      <c r="H22" s="19">
        <v>0.8</v>
      </c>
      <c r="I22" s="19">
        <v>1</v>
      </c>
      <c r="J22" s="19">
        <f t="shared" si="3"/>
        <v>1.25</v>
      </c>
      <c r="K22" s="19">
        <v>0.12</v>
      </c>
      <c r="L22" s="19">
        <v>0.5</v>
      </c>
      <c r="M22" s="19">
        <f t="shared" si="4"/>
        <v>4.166666666666667</v>
      </c>
      <c r="N22" s="19">
        <v>0.1</v>
      </c>
      <c r="O22" s="19">
        <v>0.15</v>
      </c>
      <c r="P22" s="19">
        <f t="shared" si="11"/>
        <v>1.4999999999999998</v>
      </c>
      <c r="Q22" s="19">
        <v>3.2</v>
      </c>
      <c r="R22" s="19">
        <v>1.5</v>
      </c>
      <c r="S22" s="19">
        <f>R22/Q22</f>
        <v>0.46875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20">
        <f t="shared" si="0"/>
        <v>9.77</v>
      </c>
      <c r="BB22" s="20">
        <f t="shared" si="0"/>
        <v>39.159999999999997</v>
      </c>
      <c r="BC22" s="9">
        <f t="shared" si="6"/>
        <v>4.0081883316274309</v>
      </c>
    </row>
    <row r="23" spans="1:55" x14ac:dyDescent="0.3">
      <c r="A23" s="18" t="s">
        <v>42</v>
      </c>
      <c r="B23" s="19"/>
      <c r="C23" s="19"/>
      <c r="D23" s="19"/>
      <c r="E23" s="19">
        <v>15.843999999999999</v>
      </c>
      <c r="F23" s="19">
        <v>35</v>
      </c>
      <c r="G23" s="19">
        <f t="shared" si="2"/>
        <v>2.2090381216864428</v>
      </c>
      <c r="H23" s="19">
        <v>75.599999999999994</v>
      </c>
      <c r="I23" s="19">
        <v>70</v>
      </c>
      <c r="J23" s="19">
        <f t="shared" si="3"/>
        <v>0.92592592592592604</v>
      </c>
      <c r="K23" s="19">
        <v>2.48</v>
      </c>
      <c r="L23" s="19">
        <v>30</v>
      </c>
      <c r="M23" s="19">
        <f t="shared" si="4"/>
        <v>12.096774193548388</v>
      </c>
      <c r="N23" s="19">
        <v>10.9</v>
      </c>
      <c r="O23" s="19">
        <v>35.5</v>
      </c>
      <c r="P23" s="19">
        <f t="shared" si="11"/>
        <v>3.2568807339449539</v>
      </c>
      <c r="Q23" s="19"/>
      <c r="R23" s="19"/>
      <c r="S23" s="19"/>
      <c r="T23" s="19">
        <v>19.100000000000001</v>
      </c>
      <c r="U23" s="19">
        <v>11</v>
      </c>
      <c r="V23" s="19">
        <f t="shared" si="7"/>
        <v>0.57591623036649209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20">
        <f t="shared" si="0"/>
        <v>123.92400000000001</v>
      </c>
      <c r="BB23" s="20">
        <f t="shared" si="0"/>
        <v>181.5</v>
      </c>
      <c r="BC23" s="9">
        <f t="shared" si="6"/>
        <v>1.4646073399825699</v>
      </c>
    </row>
    <row r="24" spans="1:55" x14ac:dyDescent="0.3">
      <c r="A24" s="22" t="s">
        <v>43</v>
      </c>
      <c r="B24" s="19">
        <v>0.01</v>
      </c>
      <c r="C24" s="19">
        <v>0.01</v>
      </c>
      <c r="D24" s="19">
        <f t="shared" si="1"/>
        <v>1</v>
      </c>
      <c r="E24" s="19"/>
      <c r="F24" s="19"/>
      <c r="G24" s="19"/>
      <c r="H24" s="19">
        <v>0.01</v>
      </c>
      <c r="I24" s="19">
        <v>0.01</v>
      </c>
      <c r="J24" s="19">
        <f t="shared" si="3"/>
        <v>1</v>
      </c>
      <c r="K24" s="19">
        <v>0.01</v>
      </c>
      <c r="L24" s="19">
        <v>0.01</v>
      </c>
      <c r="M24" s="19">
        <f t="shared" si="4"/>
        <v>1</v>
      </c>
      <c r="N24" s="21"/>
      <c r="O24" s="21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20">
        <f t="shared" si="0"/>
        <v>0.03</v>
      </c>
      <c r="BB24" s="20">
        <f t="shared" si="0"/>
        <v>0.03</v>
      </c>
      <c r="BC24" s="9">
        <f t="shared" si="6"/>
        <v>1</v>
      </c>
    </row>
    <row r="25" spans="1:55" x14ac:dyDescent="0.3">
      <c r="A25" s="18" t="s">
        <v>44</v>
      </c>
      <c r="B25" s="19"/>
      <c r="C25" s="19"/>
      <c r="D25" s="19"/>
      <c r="E25" s="19"/>
      <c r="F25" s="19"/>
      <c r="G25" s="19"/>
      <c r="H25" s="19">
        <v>10.6</v>
      </c>
      <c r="I25" s="19">
        <v>17.7</v>
      </c>
      <c r="J25" s="19">
        <f t="shared" si="3"/>
        <v>1.6698113207547169</v>
      </c>
      <c r="K25" s="19"/>
      <c r="L25" s="19"/>
      <c r="M25" s="19"/>
      <c r="N25" s="19">
        <v>3.7</v>
      </c>
      <c r="O25" s="19">
        <v>45</v>
      </c>
      <c r="P25" s="19">
        <f>O25/N25</f>
        <v>12.162162162162161</v>
      </c>
      <c r="Q25" s="19"/>
      <c r="R25" s="19"/>
      <c r="S25" s="19"/>
      <c r="T25" s="19"/>
      <c r="U25" s="19"/>
      <c r="V25" s="19"/>
      <c r="W25" s="19"/>
      <c r="X25" s="19"/>
      <c r="Y25" s="19"/>
      <c r="Z25" s="24"/>
      <c r="AA25" s="19"/>
      <c r="AB25" s="21"/>
      <c r="AC25" s="19"/>
      <c r="AD25" s="19"/>
      <c r="AE25" s="19"/>
      <c r="AF25" s="19"/>
      <c r="AG25" s="19"/>
      <c r="AH25" s="19"/>
      <c r="AI25" s="19">
        <v>4.07</v>
      </c>
      <c r="AJ25" s="19">
        <v>5.51</v>
      </c>
      <c r="AK25" s="19">
        <f t="shared" ref="AK25:AK34" si="13">AJ25/AI25</f>
        <v>1.3538083538083536</v>
      </c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20">
        <f t="shared" si="0"/>
        <v>18.37</v>
      </c>
      <c r="BB25" s="20">
        <f t="shared" si="0"/>
        <v>68.210000000000008</v>
      </c>
      <c r="BC25" s="9">
        <f t="shared" si="6"/>
        <v>3.7131192161132285</v>
      </c>
    </row>
    <row r="26" spans="1:55" x14ac:dyDescent="0.3">
      <c r="A26" s="18" t="s">
        <v>45</v>
      </c>
      <c r="B26" s="19"/>
      <c r="C26" s="19"/>
      <c r="D26" s="19"/>
      <c r="E26" s="19">
        <v>0.16</v>
      </c>
      <c r="F26" s="19">
        <v>0.31</v>
      </c>
      <c r="G26" s="19">
        <f t="shared" si="2"/>
        <v>1.9375</v>
      </c>
      <c r="H26" s="19">
        <v>12.21</v>
      </c>
      <c r="I26" s="19">
        <v>17.71</v>
      </c>
      <c r="J26" s="19">
        <f t="shared" si="3"/>
        <v>1.4504504504504505</v>
      </c>
      <c r="K26" s="19">
        <v>0.2</v>
      </c>
      <c r="L26" s="19">
        <v>0.43</v>
      </c>
      <c r="M26" s="19">
        <f t="shared" si="4"/>
        <v>2.15</v>
      </c>
      <c r="N26" s="19">
        <v>59.45</v>
      </c>
      <c r="O26" s="19">
        <v>235.98</v>
      </c>
      <c r="P26" s="19">
        <f>O26/N26</f>
        <v>3.9693860386879729</v>
      </c>
      <c r="Q26" s="19"/>
      <c r="R26" s="19"/>
      <c r="S26" s="19"/>
      <c r="T26" s="19">
        <v>250</v>
      </c>
      <c r="U26" s="19">
        <v>300</v>
      </c>
      <c r="V26" s="19">
        <f t="shared" si="7"/>
        <v>1.2</v>
      </c>
      <c r="W26" s="19">
        <v>220</v>
      </c>
      <c r="X26" s="19">
        <v>111</v>
      </c>
      <c r="Y26" s="19">
        <f>X26/W26</f>
        <v>0.50454545454545452</v>
      </c>
      <c r="Z26" s="19">
        <v>59.04</v>
      </c>
      <c r="AA26" s="19">
        <v>84.07</v>
      </c>
      <c r="AB26" s="19">
        <f>AA26/Z26</f>
        <v>1.4239498644986448</v>
      </c>
      <c r="AC26" s="19">
        <v>82.35</v>
      </c>
      <c r="AD26" s="19">
        <v>87.38</v>
      </c>
      <c r="AE26" s="19">
        <f t="shared" si="9"/>
        <v>1.0610807528840316</v>
      </c>
      <c r="AF26" s="19">
        <v>24.43</v>
      </c>
      <c r="AG26" s="19">
        <v>18.010000000000002</v>
      </c>
      <c r="AH26" s="19">
        <f t="shared" si="8"/>
        <v>0.73720835038886623</v>
      </c>
      <c r="AI26" s="19">
        <v>12.8</v>
      </c>
      <c r="AJ26" s="19">
        <v>6</v>
      </c>
      <c r="AK26" s="19">
        <f t="shared" si="13"/>
        <v>0.46875</v>
      </c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20">
        <f t="shared" si="0"/>
        <v>720.63999999999987</v>
      </c>
      <c r="BB26" s="20">
        <f t="shared" si="0"/>
        <v>860.89</v>
      </c>
      <c r="BC26" s="9">
        <f t="shared" si="6"/>
        <v>1.1946186722912968</v>
      </c>
    </row>
    <row r="27" spans="1:55" x14ac:dyDescent="0.3">
      <c r="A27" s="18" t="s">
        <v>46</v>
      </c>
      <c r="B27" s="19"/>
      <c r="C27" s="19"/>
      <c r="D27" s="19"/>
      <c r="E27" s="19">
        <v>9.25</v>
      </c>
      <c r="F27" s="19">
        <v>51.56</v>
      </c>
      <c r="G27" s="19">
        <f t="shared" si="2"/>
        <v>5.574054054054054</v>
      </c>
      <c r="H27" s="19"/>
      <c r="I27" s="19"/>
      <c r="J27" s="19"/>
      <c r="K27" s="19">
        <v>1.3</v>
      </c>
      <c r="L27" s="19">
        <v>4.68</v>
      </c>
      <c r="M27" s="19">
        <f t="shared" si="4"/>
        <v>3.5999999999999996</v>
      </c>
      <c r="N27" s="19"/>
      <c r="O27" s="19"/>
      <c r="P27" s="19"/>
      <c r="Q27" s="19">
        <v>16.010000000000002</v>
      </c>
      <c r="R27" s="19">
        <v>3.84</v>
      </c>
      <c r="S27" s="19">
        <f>R27/Q27</f>
        <v>0.23985009369144281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20">
        <f t="shared" si="0"/>
        <v>26.560000000000002</v>
      </c>
      <c r="BB27" s="20">
        <f t="shared" si="0"/>
        <v>60.08</v>
      </c>
      <c r="BC27" s="9">
        <f t="shared" si="6"/>
        <v>2.262048192771084</v>
      </c>
    </row>
    <row r="28" spans="1:55" x14ac:dyDescent="0.3">
      <c r="A28" s="18" t="s">
        <v>47</v>
      </c>
      <c r="B28" s="19">
        <v>4.3</v>
      </c>
      <c r="C28" s="19">
        <v>0.98</v>
      </c>
      <c r="D28" s="19">
        <f t="shared" si="1"/>
        <v>0.22790697674418606</v>
      </c>
      <c r="E28" s="19">
        <v>0.33</v>
      </c>
      <c r="F28" s="19">
        <v>4.0999999999999996</v>
      </c>
      <c r="G28" s="19">
        <f t="shared" si="2"/>
        <v>12.424242424242422</v>
      </c>
      <c r="H28" s="19">
        <v>50.67</v>
      </c>
      <c r="I28" s="19">
        <v>23.06</v>
      </c>
      <c r="J28" s="19">
        <f t="shared" si="3"/>
        <v>0.45510163805012827</v>
      </c>
      <c r="K28" s="19">
        <v>35.76</v>
      </c>
      <c r="L28" s="19">
        <v>190.1</v>
      </c>
      <c r="M28" s="19">
        <f t="shared" si="4"/>
        <v>5.3159955257270699</v>
      </c>
      <c r="N28" s="19">
        <v>0.45</v>
      </c>
      <c r="O28" s="19">
        <v>2.59</v>
      </c>
      <c r="P28" s="19">
        <f>O28/N28</f>
        <v>5.7555555555555555</v>
      </c>
      <c r="Q28" s="19">
        <v>5.16</v>
      </c>
      <c r="R28" s="19">
        <v>0.77</v>
      </c>
      <c r="S28" s="19">
        <f>R28/Q28</f>
        <v>0.14922480620155038</v>
      </c>
      <c r="T28" s="19">
        <v>9.59</v>
      </c>
      <c r="U28" s="19">
        <v>4.0999999999999996</v>
      </c>
      <c r="V28" s="19">
        <f t="shared" si="7"/>
        <v>0.42752867570385816</v>
      </c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>
        <v>0.05</v>
      </c>
      <c r="AP28" s="19">
        <v>1E-3</v>
      </c>
      <c r="AQ28" s="19">
        <f>AP28/AO28</f>
        <v>0.02</v>
      </c>
      <c r="AR28" s="19">
        <v>0.87</v>
      </c>
      <c r="AS28" s="19">
        <v>0.82</v>
      </c>
      <c r="AT28" s="19">
        <f>AS28/AR28</f>
        <v>0.94252873563218387</v>
      </c>
      <c r="AU28" s="19">
        <v>16.64</v>
      </c>
      <c r="AV28" s="19">
        <v>53.07</v>
      </c>
      <c r="AW28" s="19">
        <f t="shared" si="5"/>
        <v>3.1893028846153846</v>
      </c>
      <c r="AX28" s="19">
        <v>0.56999999999999995</v>
      </c>
      <c r="AY28" s="19">
        <v>0.02</v>
      </c>
      <c r="AZ28" s="19">
        <f t="shared" si="10"/>
        <v>3.5087719298245619E-2</v>
      </c>
      <c r="BA28" s="20">
        <f t="shared" si="0"/>
        <v>124.39</v>
      </c>
      <c r="BB28" s="20">
        <f t="shared" si="0"/>
        <v>279.61099999999999</v>
      </c>
      <c r="BC28" s="9">
        <f t="shared" si="6"/>
        <v>2.2478575448187152</v>
      </c>
    </row>
    <row r="29" spans="1:55" x14ac:dyDescent="0.3">
      <c r="A29" s="18" t="s">
        <v>48</v>
      </c>
      <c r="B29" s="19">
        <v>0.24</v>
      </c>
      <c r="C29" s="19">
        <v>0.15</v>
      </c>
      <c r="D29" s="19">
        <f t="shared" si="1"/>
        <v>0.625</v>
      </c>
      <c r="E29" s="19">
        <v>1.8</v>
      </c>
      <c r="F29" s="19">
        <v>7.6</v>
      </c>
      <c r="G29" s="19">
        <f t="shared" si="2"/>
        <v>4.2222222222222223</v>
      </c>
      <c r="H29" s="19">
        <v>2.35</v>
      </c>
      <c r="I29" s="19">
        <v>3.7</v>
      </c>
      <c r="J29" s="19">
        <f t="shared" si="3"/>
        <v>1.574468085106383</v>
      </c>
      <c r="K29" s="19">
        <v>1.3</v>
      </c>
      <c r="L29" s="19">
        <v>6.59</v>
      </c>
      <c r="M29" s="19">
        <f t="shared" si="4"/>
        <v>5.069230769230769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20">
        <f t="shared" si="0"/>
        <v>5.69</v>
      </c>
      <c r="BB29" s="20">
        <f t="shared" si="0"/>
        <v>18.04</v>
      </c>
      <c r="BC29" s="9">
        <f t="shared" si="6"/>
        <v>3.1704745166959576</v>
      </c>
    </row>
    <row r="30" spans="1:55" x14ac:dyDescent="0.3">
      <c r="A30" s="18" t="s">
        <v>49</v>
      </c>
      <c r="B30" s="19"/>
      <c r="C30" s="19"/>
      <c r="D30" s="19"/>
      <c r="E30" s="19">
        <v>0.82199999999999995</v>
      </c>
      <c r="F30" s="19">
        <v>4.0199999999999996</v>
      </c>
      <c r="G30" s="19">
        <f t="shared" si="2"/>
        <v>4.8905109489051091</v>
      </c>
      <c r="H30" s="19">
        <v>13.47</v>
      </c>
      <c r="I30" s="19">
        <v>10.3</v>
      </c>
      <c r="J30" s="19">
        <f t="shared" si="3"/>
        <v>0.76466221232368226</v>
      </c>
      <c r="K30" s="19">
        <v>2</v>
      </c>
      <c r="L30" s="19">
        <v>6</v>
      </c>
      <c r="M30" s="19">
        <f t="shared" si="4"/>
        <v>3</v>
      </c>
      <c r="N30" s="19">
        <v>36.08</v>
      </c>
      <c r="O30" s="19">
        <v>187.39</v>
      </c>
      <c r="P30" s="19">
        <f>O30/N30</f>
        <v>5.1937361419068733</v>
      </c>
      <c r="Q30" s="19"/>
      <c r="R30" s="19"/>
      <c r="S30" s="19"/>
      <c r="T30" s="19">
        <v>6.68</v>
      </c>
      <c r="U30" s="19">
        <v>3.61</v>
      </c>
      <c r="V30" s="19">
        <f t="shared" si="7"/>
        <v>0.54041916167664672</v>
      </c>
      <c r="W30" s="19">
        <v>1E-3</v>
      </c>
      <c r="X30" s="19">
        <v>0.01</v>
      </c>
      <c r="Y30" s="19">
        <f>X30/W30</f>
        <v>10</v>
      </c>
      <c r="Z30" s="19">
        <v>0.8</v>
      </c>
      <c r="AA30" s="19">
        <v>0.77</v>
      </c>
      <c r="AB30" s="19">
        <f>AA30/Z30</f>
        <v>0.96250000000000002</v>
      </c>
      <c r="AC30" s="19">
        <v>0.33</v>
      </c>
      <c r="AD30" s="19">
        <v>0.22</v>
      </c>
      <c r="AE30" s="19">
        <f t="shared" si="9"/>
        <v>0.66666666666666663</v>
      </c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20">
        <f t="shared" si="0"/>
        <v>60.182999999999993</v>
      </c>
      <c r="BB30" s="20">
        <f t="shared" si="0"/>
        <v>212.32</v>
      </c>
      <c r="BC30" s="9">
        <f t="shared" si="6"/>
        <v>3.5279065516840307</v>
      </c>
    </row>
    <row r="31" spans="1:55" x14ac:dyDescent="0.3">
      <c r="A31" s="18" t="s">
        <v>50</v>
      </c>
      <c r="B31" s="19"/>
      <c r="C31" s="19"/>
      <c r="D31" s="19"/>
      <c r="E31" s="19">
        <v>2.355</v>
      </c>
      <c r="F31" s="19">
        <v>23.44</v>
      </c>
      <c r="G31" s="19">
        <f t="shared" si="2"/>
        <v>9.9532908704883241</v>
      </c>
      <c r="H31" s="19">
        <v>2</v>
      </c>
      <c r="I31" s="19">
        <v>7.2</v>
      </c>
      <c r="J31" s="19">
        <f t="shared" si="3"/>
        <v>3.6</v>
      </c>
      <c r="K31" s="19">
        <v>1.34</v>
      </c>
      <c r="L31" s="19">
        <v>2.4900000000000002</v>
      </c>
      <c r="M31" s="19">
        <f t="shared" si="4"/>
        <v>1.8582089552238807</v>
      </c>
      <c r="N31" s="19">
        <v>1.0900000000000001</v>
      </c>
      <c r="O31" s="19">
        <v>1.54</v>
      </c>
      <c r="P31" s="19">
        <f>O31/N31</f>
        <v>1.4128440366972477</v>
      </c>
      <c r="Q31" s="19"/>
      <c r="R31" s="19"/>
      <c r="S31" s="19"/>
      <c r="T31" s="19">
        <v>0.9</v>
      </c>
      <c r="U31" s="19">
        <v>3.8</v>
      </c>
      <c r="V31" s="19">
        <f t="shared" si="7"/>
        <v>4.2222222222222223</v>
      </c>
      <c r="W31" s="19"/>
      <c r="X31" s="19"/>
      <c r="Y31" s="19"/>
      <c r="Z31" s="19"/>
      <c r="AA31" s="19"/>
      <c r="AB31" s="19"/>
      <c r="AC31" s="19">
        <v>0.4</v>
      </c>
      <c r="AD31" s="19">
        <v>2.61</v>
      </c>
      <c r="AE31" s="19">
        <f t="shared" si="9"/>
        <v>6.5249999999999995</v>
      </c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20">
        <f t="shared" si="0"/>
        <v>8.0850000000000009</v>
      </c>
      <c r="BB31" s="20">
        <f t="shared" si="0"/>
        <v>41.08</v>
      </c>
      <c r="BC31" s="9">
        <f t="shared" si="6"/>
        <v>5.0810142238713656</v>
      </c>
    </row>
    <row r="32" spans="1:55" x14ac:dyDescent="0.3">
      <c r="A32" s="18" t="s">
        <v>51</v>
      </c>
      <c r="B32" s="19"/>
      <c r="C32" s="19"/>
      <c r="D32" s="19"/>
      <c r="E32" s="19">
        <v>11.5</v>
      </c>
      <c r="F32" s="19">
        <v>25</v>
      </c>
      <c r="G32" s="19">
        <f t="shared" si="2"/>
        <v>2.1739130434782608</v>
      </c>
      <c r="H32" s="19">
        <v>63.6</v>
      </c>
      <c r="I32" s="19">
        <v>100</v>
      </c>
      <c r="J32" s="19">
        <f t="shared" si="3"/>
        <v>1.5723270440251571</v>
      </c>
      <c r="K32" s="19">
        <v>15.8</v>
      </c>
      <c r="L32" s="19">
        <v>42</v>
      </c>
      <c r="M32" s="19">
        <f t="shared" si="4"/>
        <v>2.6582278481012658</v>
      </c>
      <c r="N32" s="19">
        <v>3.35</v>
      </c>
      <c r="O32" s="19">
        <v>40</v>
      </c>
      <c r="P32" s="19">
        <f>O32/N32</f>
        <v>11.940298507462686</v>
      </c>
      <c r="Q32" s="19">
        <v>3.31</v>
      </c>
      <c r="R32" s="19">
        <v>0.66</v>
      </c>
      <c r="S32" s="19">
        <f>R32/Q32</f>
        <v>0.19939577039274925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20">
        <f t="shared" si="0"/>
        <v>97.559999999999988</v>
      </c>
      <c r="BB32" s="20">
        <f t="shared" si="0"/>
        <v>207.66</v>
      </c>
      <c r="BC32" s="9">
        <f t="shared" si="6"/>
        <v>2.1285362853628538</v>
      </c>
    </row>
    <row r="33" spans="1:55" x14ac:dyDescent="0.3">
      <c r="A33" s="18"/>
      <c r="B33" s="19"/>
      <c r="C33" s="19"/>
      <c r="D33" s="19"/>
      <c r="E33" s="19"/>
      <c r="F33" s="19"/>
      <c r="G33" s="19"/>
      <c r="H33" s="21"/>
      <c r="I33" s="21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20"/>
      <c r="BB33" s="20">
        <f>C33+F33+I33+L33+O33+R33+U33+X33+AA33+AD33+AG33+AJ33+AM33+AP33+AS33+AV33+AY33</f>
        <v>0</v>
      </c>
      <c r="BC33" s="9"/>
    </row>
    <row r="34" spans="1:55" x14ac:dyDescent="0.3">
      <c r="A34" s="18" t="s">
        <v>52</v>
      </c>
      <c r="B34" s="124">
        <f>SUM(B3:B33)</f>
        <v>124.60000000000001</v>
      </c>
      <c r="C34" s="179">
        <f t="shared" ref="C34:BA34" si="14">SUM(C3:C33)</f>
        <v>52.610099999999989</v>
      </c>
      <c r="D34" s="26">
        <f t="shared" si="1"/>
        <v>0.42223194221508814</v>
      </c>
      <c r="E34" s="124">
        <f t="shared" si="14"/>
        <v>136.24799999999999</v>
      </c>
      <c r="F34" s="113">
        <f t="shared" si="14"/>
        <v>682.63000000000011</v>
      </c>
      <c r="G34" s="132">
        <f t="shared" si="2"/>
        <v>5.0102019846162893</v>
      </c>
      <c r="H34" s="124">
        <f t="shared" si="14"/>
        <v>794.12000000000012</v>
      </c>
      <c r="I34" s="113">
        <f t="shared" si="14"/>
        <v>1304.3800000000001</v>
      </c>
      <c r="J34" s="26">
        <f t="shared" si="3"/>
        <v>1.642547725784516</v>
      </c>
      <c r="K34" s="124">
        <f t="shared" si="14"/>
        <v>194.23000000000002</v>
      </c>
      <c r="L34" s="113">
        <f t="shared" si="14"/>
        <v>971.09</v>
      </c>
      <c r="M34" s="132">
        <f t="shared" si="4"/>
        <v>4.9996910878854965</v>
      </c>
      <c r="N34" s="124">
        <f t="shared" si="14"/>
        <v>247.51999999999998</v>
      </c>
      <c r="O34" s="113">
        <f t="shared" si="14"/>
        <v>1259.2719999999999</v>
      </c>
      <c r="P34" s="132">
        <f>O34/N34</f>
        <v>5.0875565610859725</v>
      </c>
      <c r="Q34" s="188">
        <f t="shared" si="14"/>
        <v>92.39</v>
      </c>
      <c r="R34" s="199">
        <f t="shared" si="14"/>
        <v>18.43</v>
      </c>
      <c r="S34" s="25">
        <f>R34/Q34</f>
        <v>0.19948046325359886</v>
      </c>
      <c r="T34" s="124">
        <f t="shared" si="14"/>
        <v>543.19999999999993</v>
      </c>
      <c r="U34" s="113">
        <f t="shared" si="14"/>
        <v>523.88</v>
      </c>
      <c r="V34" s="26">
        <f t="shared" si="7"/>
        <v>0.96443298969072178</v>
      </c>
      <c r="W34" s="124">
        <f t="shared" si="14"/>
        <v>593.98099999999999</v>
      </c>
      <c r="X34" s="113">
        <f t="shared" si="14"/>
        <v>394.33</v>
      </c>
      <c r="Y34" s="25">
        <f>X34/W34</f>
        <v>0.66387645396064854</v>
      </c>
      <c r="Z34" s="188">
        <f t="shared" si="14"/>
        <v>99.61</v>
      </c>
      <c r="AA34" s="179">
        <f t="shared" si="14"/>
        <v>142.95000000000002</v>
      </c>
      <c r="AB34" s="25">
        <f>AA34/Z34</f>
        <v>1.4350968778235118</v>
      </c>
      <c r="AC34" s="188">
        <f t="shared" si="14"/>
        <v>93.11999999999999</v>
      </c>
      <c r="AD34" s="179">
        <f t="shared" si="14"/>
        <v>112.86999999999999</v>
      </c>
      <c r="AE34" s="26">
        <f t="shared" si="9"/>
        <v>1.2120919243986255</v>
      </c>
      <c r="AF34" s="188">
        <f t="shared" si="14"/>
        <v>35.379999999999995</v>
      </c>
      <c r="AG34" s="179">
        <f t="shared" si="14"/>
        <v>26.78</v>
      </c>
      <c r="AH34" s="26">
        <f t="shared" si="8"/>
        <v>0.75692481628038455</v>
      </c>
      <c r="AI34" s="209">
        <f t="shared" si="14"/>
        <v>33.47</v>
      </c>
      <c r="AJ34" s="179">
        <f t="shared" si="14"/>
        <v>32.64</v>
      </c>
      <c r="AK34" s="26">
        <f t="shared" si="13"/>
        <v>0.97520167314012551</v>
      </c>
      <c r="AL34" s="209">
        <f t="shared" si="14"/>
        <v>2.95</v>
      </c>
      <c r="AM34" s="199">
        <f t="shared" si="14"/>
        <v>5.0510000000000002</v>
      </c>
      <c r="AN34" s="132">
        <f t="shared" si="12"/>
        <v>1.7122033898305085</v>
      </c>
      <c r="AO34" s="209">
        <f t="shared" si="14"/>
        <v>17.489999999999998</v>
      </c>
      <c r="AP34" s="199">
        <f t="shared" si="14"/>
        <v>12.620999999999999</v>
      </c>
      <c r="AQ34" s="25">
        <f>AP34/AO34</f>
        <v>0.72161234991423673</v>
      </c>
      <c r="AR34" s="209">
        <f t="shared" si="14"/>
        <v>2.38</v>
      </c>
      <c r="AS34" s="199">
        <f t="shared" si="14"/>
        <v>1.1000000000000001</v>
      </c>
      <c r="AT34" s="25">
        <f>AS34/AR34</f>
        <v>0.46218487394957991</v>
      </c>
      <c r="AU34" s="188">
        <f t="shared" si="14"/>
        <v>58.110000000000007</v>
      </c>
      <c r="AV34" s="113">
        <f t="shared" si="14"/>
        <v>201.82</v>
      </c>
      <c r="AW34" s="132">
        <f t="shared" si="5"/>
        <v>3.4730683187059022</v>
      </c>
      <c r="AX34" s="209">
        <f t="shared" si="14"/>
        <v>7.1</v>
      </c>
      <c r="AY34" s="199">
        <f t="shared" si="14"/>
        <v>1.07</v>
      </c>
      <c r="AZ34" s="26">
        <f>AY34/AX34</f>
        <v>0.1507042253521127</v>
      </c>
      <c r="BA34" s="25">
        <f t="shared" si="14"/>
        <v>3075.8989999999994</v>
      </c>
      <c r="BB34" s="20">
        <f>C34+F34+I34+L34+O34+R34+U34+X34+AA34+AD34+AG34+AJ34+AM34+AP34+AS34+AV34+AY34</f>
        <v>5743.5241000000005</v>
      </c>
      <c r="BC34" s="9">
        <f t="shared" si="6"/>
        <v>1.8672668055745658</v>
      </c>
    </row>
  </sheetData>
  <mergeCells count="18">
    <mergeCell ref="Q1:R1"/>
    <mergeCell ref="B1:C1"/>
    <mergeCell ref="E1:F1"/>
    <mergeCell ref="H1:I1"/>
    <mergeCell ref="K1:L1"/>
    <mergeCell ref="N1:O1"/>
    <mergeCell ref="BA1:BB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9B72-4C9C-41E4-B60F-8E7C650A3B2E}">
  <dimension ref="A1:BC35"/>
  <sheetViews>
    <sheetView topLeftCell="AH16" workbookViewId="0">
      <selection activeCell="AX35" sqref="AX35"/>
    </sheetView>
  </sheetViews>
  <sheetFormatPr defaultRowHeight="14.4" x14ac:dyDescent="0.3"/>
  <cols>
    <col min="1" max="1" width="20.21875" bestFit="1" customWidth="1"/>
  </cols>
  <sheetData>
    <row r="1" spans="1:55" x14ac:dyDescent="0.3">
      <c r="A1" s="27" t="s">
        <v>54</v>
      </c>
      <c r="B1" s="229" t="s">
        <v>1</v>
      </c>
      <c r="C1" s="229"/>
      <c r="D1" s="28"/>
      <c r="E1" s="229" t="s">
        <v>2</v>
      </c>
      <c r="F1" s="229"/>
      <c r="G1" s="28"/>
      <c r="H1" s="229" t="s">
        <v>3</v>
      </c>
      <c r="I1" s="229"/>
      <c r="J1" s="28"/>
      <c r="K1" s="229" t="s">
        <v>4</v>
      </c>
      <c r="L1" s="229"/>
      <c r="M1" s="28"/>
      <c r="N1" s="229" t="s">
        <v>5</v>
      </c>
      <c r="O1" s="229"/>
      <c r="P1" s="28"/>
      <c r="Q1" s="229" t="s">
        <v>6</v>
      </c>
      <c r="R1" s="229"/>
      <c r="S1" s="28"/>
      <c r="T1" s="229" t="s">
        <v>7</v>
      </c>
      <c r="U1" s="229"/>
      <c r="V1" s="28"/>
      <c r="W1" s="229" t="s">
        <v>8</v>
      </c>
      <c r="X1" s="229"/>
      <c r="Y1" s="28"/>
      <c r="Z1" s="229" t="s">
        <v>9</v>
      </c>
      <c r="AA1" s="229"/>
      <c r="AB1" s="28"/>
      <c r="AC1" s="229" t="s">
        <v>55</v>
      </c>
      <c r="AD1" s="229"/>
      <c r="AE1" s="28"/>
      <c r="AF1" s="229" t="s">
        <v>11</v>
      </c>
      <c r="AG1" s="229"/>
      <c r="AH1" s="28"/>
      <c r="AI1" s="229" t="s">
        <v>12</v>
      </c>
      <c r="AJ1" s="229"/>
      <c r="AK1" s="28"/>
      <c r="AL1" s="230" t="s">
        <v>13</v>
      </c>
      <c r="AM1" s="230"/>
      <c r="AN1" s="29"/>
      <c r="AO1" s="229" t="s">
        <v>14</v>
      </c>
      <c r="AP1" s="229"/>
      <c r="AQ1" s="28"/>
      <c r="AR1" s="229" t="s">
        <v>15</v>
      </c>
      <c r="AS1" s="229"/>
      <c r="AT1" s="28"/>
      <c r="AU1" s="229" t="s">
        <v>16</v>
      </c>
      <c r="AV1" s="229"/>
      <c r="AW1" s="28"/>
      <c r="AX1" s="229" t="s">
        <v>17</v>
      </c>
      <c r="AY1" s="229"/>
      <c r="AZ1" s="28"/>
      <c r="BA1" s="226" t="s">
        <v>18</v>
      </c>
      <c r="BB1" s="227"/>
      <c r="BC1" s="228"/>
    </row>
    <row r="2" spans="1:55" x14ac:dyDescent="0.3">
      <c r="A2" s="30"/>
      <c r="B2" s="28" t="s">
        <v>19</v>
      </c>
      <c r="C2" s="28" t="s">
        <v>20</v>
      </c>
      <c r="D2" s="28" t="s">
        <v>21</v>
      </c>
      <c r="E2" s="28" t="s">
        <v>19</v>
      </c>
      <c r="F2" s="28" t="s">
        <v>20</v>
      </c>
      <c r="G2" s="28" t="s">
        <v>21</v>
      </c>
      <c r="H2" s="28" t="s">
        <v>19</v>
      </c>
      <c r="I2" s="28" t="s">
        <v>20</v>
      </c>
      <c r="J2" s="28" t="s">
        <v>21</v>
      </c>
      <c r="K2" s="28" t="s">
        <v>19</v>
      </c>
      <c r="L2" s="28" t="s">
        <v>20</v>
      </c>
      <c r="M2" s="28" t="s">
        <v>21</v>
      </c>
      <c r="N2" s="28" t="s">
        <v>19</v>
      </c>
      <c r="O2" s="28" t="s">
        <v>20</v>
      </c>
      <c r="P2" s="28" t="s">
        <v>21</v>
      </c>
      <c r="Q2" s="28" t="s">
        <v>19</v>
      </c>
      <c r="R2" s="28" t="s">
        <v>20</v>
      </c>
      <c r="S2" s="28" t="s">
        <v>21</v>
      </c>
      <c r="T2" s="28" t="s">
        <v>19</v>
      </c>
      <c r="U2" s="28" t="s">
        <v>20</v>
      </c>
      <c r="V2" s="28" t="s">
        <v>21</v>
      </c>
      <c r="W2" s="28" t="s">
        <v>19</v>
      </c>
      <c r="X2" s="28" t="s">
        <v>20</v>
      </c>
      <c r="Y2" s="28" t="s">
        <v>21</v>
      </c>
      <c r="Z2" s="28" t="s">
        <v>19</v>
      </c>
      <c r="AA2" s="28" t="s">
        <v>20</v>
      </c>
      <c r="AB2" s="28" t="s">
        <v>21</v>
      </c>
      <c r="AC2" s="28" t="s">
        <v>19</v>
      </c>
      <c r="AD2" s="28" t="s">
        <v>20</v>
      </c>
      <c r="AE2" s="28" t="s">
        <v>21</v>
      </c>
      <c r="AF2" s="28" t="s">
        <v>19</v>
      </c>
      <c r="AG2" s="28" t="s">
        <v>20</v>
      </c>
      <c r="AH2" s="28" t="s">
        <v>21</v>
      </c>
      <c r="AI2" s="28" t="s">
        <v>19</v>
      </c>
      <c r="AJ2" s="28" t="s">
        <v>20</v>
      </c>
      <c r="AK2" s="28" t="s">
        <v>21</v>
      </c>
      <c r="AL2" s="28" t="s">
        <v>19</v>
      </c>
      <c r="AM2" s="28" t="s">
        <v>20</v>
      </c>
      <c r="AN2" s="28" t="s">
        <v>21</v>
      </c>
      <c r="AO2" s="28" t="s">
        <v>19</v>
      </c>
      <c r="AP2" s="28" t="s">
        <v>20</v>
      </c>
      <c r="AQ2" s="28" t="s">
        <v>21</v>
      </c>
      <c r="AR2" s="28" t="s">
        <v>19</v>
      </c>
      <c r="AS2" s="28" t="s">
        <v>20</v>
      </c>
      <c r="AT2" s="28" t="s">
        <v>21</v>
      </c>
      <c r="AU2" s="28" t="s">
        <v>19</v>
      </c>
      <c r="AV2" s="28" t="s">
        <v>20</v>
      </c>
      <c r="AW2" s="28" t="s">
        <v>21</v>
      </c>
      <c r="AX2" s="28" t="s">
        <v>19</v>
      </c>
      <c r="AY2" s="28" t="s">
        <v>20</v>
      </c>
      <c r="AZ2" s="28" t="s">
        <v>21</v>
      </c>
      <c r="BA2" s="28" t="s">
        <v>19</v>
      </c>
      <c r="BB2" s="28" t="s">
        <v>20</v>
      </c>
      <c r="BC2" s="28" t="s">
        <v>21</v>
      </c>
    </row>
    <row r="3" spans="1:55" x14ac:dyDescent="0.3">
      <c r="A3" s="31" t="s">
        <v>22</v>
      </c>
      <c r="B3" s="32">
        <v>0.6</v>
      </c>
      <c r="C3" s="32">
        <v>0.13</v>
      </c>
      <c r="D3" s="32">
        <f>C3/B3</f>
        <v>0.21666666666666667</v>
      </c>
      <c r="E3" s="32">
        <v>0.215</v>
      </c>
      <c r="F3" s="32">
        <v>1.91</v>
      </c>
      <c r="G3" s="32">
        <f>F3/E3</f>
        <v>8.8837209302325579</v>
      </c>
      <c r="H3" s="32">
        <v>0.4</v>
      </c>
      <c r="I3" s="32">
        <v>0.61</v>
      </c>
      <c r="J3" s="32">
        <f>I3/H3</f>
        <v>1.5249999999999999</v>
      </c>
      <c r="K3" s="32">
        <v>0.08</v>
      </c>
      <c r="L3" s="32">
        <v>0.47</v>
      </c>
      <c r="M3" s="32">
        <f>L3/K3</f>
        <v>5.8749999999999991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>
        <v>0.15</v>
      </c>
      <c r="AM3" s="32">
        <v>0.04</v>
      </c>
      <c r="AN3" s="32">
        <f>AM3/AL3</f>
        <v>0.26666666666666666</v>
      </c>
      <c r="AO3" s="32">
        <v>7.0000000000000007E-2</v>
      </c>
      <c r="AP3" s="32">
        <v>0.05</v>
      </c>
      <c r="AQ3" s="32">
        <f>AP3/AO3</f>
        <v>0.7142857142857143</v>
      </c>
      <c r="AR3" s="32">
        <v>0.16</v>
      </c>
      <c r="AS3" s="32">
        <v>0.01</v>
      </c>
      <c r="AT3" s="32">
        <f>AS3/AR3</f>
        <v>6.25E-2</v>
      </c>
      <c r="AU3" s="32"/>
      <c r="AV3" s="32"/>
      <c r="AW3" s="32"/>
      <c r="AX3" s="32"/>
      <c r="AY3" s="32"/>
      <c r="AZ3" s="32"/>
      <c r="BA3" s="33">
        <f t="shared" ref="BA3:BB33" si="0">B3+E3+H3+K3+N3+Q3+T3+W3+Z3+AC3+AF3+AI3+AL3+AO3+AR3+AU3+AX3</f>
        <v>1.6749999999999998</v>
      </c>
      <c r="BB3" s="33">
        <f t="shared" si="0"/>
        <v>3.2199999999999998</v>
      </c>
      <c r="BC3" s="9">
        <f>BB3/BA3</f>
        <v>1.9223880597014926</v>
      </c>
    </row>
    <row r="4" spans="1:55" x14ac:dyDescent="0.3">
      <c r="A4" s="31" t="s">
        <v>23</v>
      </c>
      <c r="B4" s="32"/>
      <c r="C4" s="32"/>
      <c r="D4" s="32"/>
      <c r="E4" s="32">
        <v>0.35799999999999998</v>
      </c>
      <c r="F4" s="32">
        <v>1.37</v>
      </c>
      <c r="G4" s="32">
        <f t="shared" ref="G4:G35" si="1">F4/E4</f>
        <v>3.8268156424581008</v>
      </c>
      <c r="H4" s="32">
        <v>131.32</v>
      </c>
      <c r="I4" s="32">
        <v>601.99</v>
      </c>
      <c r="J4" s="32">
        <f t="shared" ref="J4:J35" si="2">I4/H4</f>
        <v>4.5841455985379227</v>
      </c>
      <c r="K4" s="34">
        <v>17.82</v>
      </c>
      <c r="L4" s="34">
        <v>151.91</v>
      </c>
      <c r="M4" s="32">
        <f t="shared" ref="M4:M35" si="3">L4/K4</f>
        <v>8.5246913580246915</v>
      </c>
      <c r="N4" s="32"/>
      <c r="O4" s="32"/>
      <c r="P4" s="32"/>
      <c r="Q4" s="32"/>
      <c r="R4" s="32"/>
      <c r="S4" s="32"/>
      <c r="T4" s="32">
        <v>8.4499999999999993</v>
      </c>
      <c r="U4" s="32">
        <v>5.0199999999999996</v>
      </c>
      <c r="V4" s="32">
        <f>U4/T4</f>
        <v>0.59408284023668634</v>
      </c>
      <c r="W4" s="32"/>
      <c r="X4" s="32"/>
      <c r="Y4" s="32"/>
      <c r="Z4" s="32"/>
      <c r="AA4" s="32"/>
      <c r="AB4" s="32"/>
      <c r="AC4" s="32"/>
      <c r="AD4" s="32"/>
      <c r="AE4" s="32"/>
      <c r="AF4" s="32">
        <v>6.63</v>
      </c>
      <c r="AG4" s="32">
        <v>2.88</v>
      </c>
      <c r="AH4" s="32">
        <f>AG4/AF4</f>
        <v>0.43438914027149322</v>
      </c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>
        <v>4.7699999999999996</v>
      </c>
      <c r="AV4" s="32">
        <v>12.64</v>
      </c>
      <c r="AW4" s="32">
        <f>AV4/AU4</f>
        <v>2.6498951781970654</v>
      </c>
      <c r="AX4" s="32">
        <v>0.01</v>
      </c>
      <c r="AY4" s="32">
        <v>0.01</v>
      </c>
      <c r="AZ4" s="32">
        <f>AY4/AX4</f>
        <v>1</v>
      </c>
      <c r="BA4" s="33">
        <f t="shared" si="0"/>
        <v>169.35799999999998</v>
      </c>
      <c r="BB4" s="33">
        <f t="shared" si="0"/>
        <v>775.81999999999994</v>
      </c>
      <c r="BC4" s="9">
        <f t="shared" ref="BC4:BC35" si="4">BB4/BA4</f>
        <v>4.5809468699441425</v>
      </c>
    </row>
    <row r="5" spans="1:55" x14ac:dyDescent="0.3">
      <c r="A5" s="35" t="s">
        <v>24</v>
      </c>
      <c r="B5" s="32"/>
      <c r="C5" s="32"/>
      <c r="D5" s="32"/>
      <c r="E5" s="32">
        <v>7</v>
      </c>
      <c r="F5" s="32">
        <v>57</v>
      </c>
      <c r="G5" s="32">
        <f t="shared" si="1"/>
        <v>8.1428571428571423</v>
      </c>
      <c r="H5" s="32">
        <v>2.5</v>
      </c>
      <c r="I5" s="32">
        <v>4.4000000000000004</v>
      </c>
      <c r="J5" s="32">
        <f t="shared" si="2"/>
        <v>1.7600000000000002</v>
      </c>
      <c r="K5" s="32">
        <v>0.64</v>
      </c>
      <c r="L5" s="32">
        <v>2.86</v>
      </c>
      <c r="M5" s="32">
        <f t="shared" si="3"/>
        <v>4.46875</v>
      </c>
      <c r="N5" s="32">
        <v>0.03</v>
      </c>
      <c r="O5" s="32">
        <v>0.01</v>
      </c>
      <c r="P5" s="32">
        <f>O5/N5</f>
        <v>0.33333333333333337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3">
        <f t="shared" si="0"/>
        <v>10.17</v>
      </c>
      <c r="BB5" s="33">
        <f t="shared" si="0"/>
        <v>64.27000000000001</v>
      </c>
      <c r="BC5" s="9">
        <f t="shared" si="4"/>
        <v>6.319567354965586</v>
      </c>
    </row>
    <row r="6" spans="1:55" x14ac:dyDescent="0.3">
      <c r="A6" s="31" t="s">
        <v>25</v>
      </c>
      <c r="B6" s="32">
        <v>3.52</v>
      </c>
      <c r="C6" s="32">
        <v>2.0099999999999998</v>
      </c>
      <c r="D6" s="32">
        <f t="shared" ref="D6:D35" si="5">C6/B6</f>
        <v>0.57102272727272718</v>
      </c>
      <c r="E6" s="32">
        <v>15.683</v>
      </c>
      <c r="F6" s="32">
        <v>122.31</v>
      </c>
      <c r="G6" s="32">
        <f t="shared" si="1"/>
        <v>7.7988905183957149</v>
      </c>
      <c r="H6" s="32">
        <v>18.920000000000002</v>
      </c>
      <c r="I6" s="32">
        <v>16.48</v>
      </c>
      <c r="J6" s="32">
        <f t="shared" si="2"/>
        <v>0.87103594080338265</v>
      </c>
      <c r="K6" s="32">
        <v>16.309999999999999</v>
      </c>
      <c r="L6" s="32">
        <v>15.78</v>
      </c>
      <c r="M6" s="32">
        <f t="shared" si="3"/>
        <v>0.96750459840588598</v>
      </c>
      <c r="N6" s="32">
        <v>10.08</v>
      </c>
      <c r="O6" s="32">
        <v>69.42</v>
      </c>
      <c r="P6" s="32">
        <f t="shared" ref="P6:P35" si="6">O6/N6</f>
        <v>6.8869047619047619</v>
      </c>
      <c r="Q6" s="32"/>
      <c r="R6" s="32"/>
      <c r="S6" s="32"/>
      <c r="T6" s="32">
        <v>28.57</v>
      </c>
      <c r="U6" s="32">
        <v>53.14</v>
      </c>
      <c r="V6" s="32">
        <f t="shared" ref="V6:V32" si="7">U6/T6</f>
        <v>1.8599929996499824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3">
        <f t="shared" si="0"/>
        <v>93.082999999999998</v>
      </c>
      <c r="BB6" s="33">
        <f t="shared" si="0"/>
        <v>279.14</v>
      </c>
      <c r="BC6" s="9">
        <f t="shared" si="4"/>
        <v>2.9988290020734181</v>
      </c>
    </row>
    <row r="7" spans="1:55" x14ac:dyDescent="0.3">
      <c r="A7" s="31" t="s">
        <v>26</v>
      </c>
      <c r="B7" s="32"/>
      <c r="C7" s="32"/>
      <c r="D7" s="32"/>
      <c r="E7" s="32">
        <v>0.56000000000000005</v>
      </c>
      <c r="F7" s="32">
        <v>0.84</v>
      </c>
      <c r="G7" s="32">
        <f t="shared" si="1"/>
        <v>1.4999999999999998</v>
      </c>
      <c r="H7" s="32">
        <v>2.9</v>
      </c>
      <c r="I7" s="32">
        <v>3</v>
      </c>
      <c r="J7" s="32">
        <f t="shared" si="2"/>
        <v>1.0344827586206897</v>
      </c>
      <c r="K7" s="32">
        <v>3</v>
      </c>
      <c r="L7" s="32">
        <v>3</v>
      </c>
      <c r="M7" s="32">
        <f t="shared" si="3"/>
        <v>1</v>
      </c>
      <c r="N7" s="32">
        <v>4.25</v>
      </c>
      <c r="O7" s="32">
        <v>4</v>
      </c>
      <c r="P7" s="32">
        <f t="shared" si="6"/>
        <v>0.94117647058823528</v>
      </c>
      <c r="Q7" s="32"/>
      <c r="R7" s="32"/>
      <c r="S7" s="32"/>
      <c r="T7" s="32">
        <v>2.2999999999999998</v>
      </c>
      <c r="U7" s="32">
        <v>1.7</v>
      </c>
      <c r="V7" s="32">
        <f t="shared" si="7"/>
        <v>0.73913043478260876</v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4"/>
      <c r="AL7" s="34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3">
        <f t="shared" si="0"/>
        <v>13.010000000000002</v>
      </c>
      <c r="BB7" s="33">
        <f t="shared" si="0"/>
        <v>12.54</v>
      </c>
      <c r="BC7" s="9">
        <f t="shared" si="4"/>
        <v>0.9638739431206762</v>
      </c>
    </row>
    <row r="8" spans="1:55" x14ac:dyDescent="0.3">
      <c r="A8" s="31" t="s">
        <v>53</v>
      </c>
      <c r="B8" s="32"/>
      <c r="C8" s="32"/>
      <c r="D8" s="32"/>
      <c r="E8" s="32">
        <v>1.62</v>
      </c>
      <c r="F8" s="32">
        <v>1.78</v>
      </c>
      <c r="G8" s="32">
        <f t="shared" si="1"/>
        <v>1.0987654320987654</v>
      </c>
      <c r="H8" s="32">
        <v>5.01</v>
      </c>
      <c r="I8" s="32">
        <v>1.65</v>
      </c>
      <c r="J8" s="32">
        <f t="shared" si="2"/>
        <v>0.32934131736526945</v>
      </c>
      <c r="K8" s="32">
        <v>0.99</v>
      </c>
      <c r="L8" s="32">
        <v>0.84</v>
      </c>
      <c r="M8" s="32">
        <f t="shared" si="3"/>
        <v>0.84848484848484851</v>
      </c>
      <c r="N8" s="32">
        <v>1.2</v>
      </c>
      <c r="O8" s="32">
        <v>3.2</v>
      </c>
      <c r="P8" s="32">
        <f t="shared" si="6"/>
        <v>2.666666666666667</v>
      </c>
      <c r="Q8" s="32"/>
      <c r="R8" s="32"/>
      <c r="S8" s="32"/>
      <c r="T8" s="32">
        <v>2.98</v>
      </c>
      <c r="U8" s="32">
        <v>0.83</v>
      </c>
      <c r="V8" s="32">
        <f t="shared" si="7"/>
        <v>0.27852348993288589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3">
        <f t="shared" si="0"/>
        <v>11.8</v>
      </c>
      <c r="BB8" s="33">
        <f t="shared" si="0"/>
        <v>8.2999999999999989</v>
      </c>
      <c r="BC8" s="9">
        <f t="shared" si="4"/>
        <v>0.70338983050847448</v>
      </c>
    </row>
    <row r="9" spans="1:55" x14ac:dyDescent="0.3">
      <c r="A9" s="31" t="s">
        <v>28</v>
      </c>
      <c r="B9" s="32">
        <v>0.74</v>
      </c>
      <c r="C9" s="32">
        <v>0.23</v>
      </c>
      <c r="D9" s="32">
        <f t="shared" si="5"/>
        <v>0.3108108108108108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>
        <v>0.17</v>
      </c>
      <c r="AP9" s="32">
        <v>0.05</v>
      </c>
      <c r="AQ9" s="32">
        <f t="shared" ref="AQ9:AQ35" si="8">AP9/AO9</f>
        <v>0.29411764705882354</v>
      </c>
      <c r="AR9" s="32"/>
      <c r="AS9" s="32"/>
      <c r="AT9" s="32"/>
      <c r="AU9" s="32"/>
      <c r="AV9" s="32"/>
      <c r="AW9" s="32"/>
      <c r="AX9" s="32"/>
      <c r="AY9" s="32"/>
      <c r="AZ9" s="32"/>
      <c r="BA9" s="33">
        <f t="shared" si="0"/>
        <v>0.91</v>
      </c>
      <c r="BB9" s="33">
        <f t="shared" si="0"/>
        <v>0.28000000000000003</v>
      </c>
      <c r="BC9" s="9">
        <f t="shared" si="4"/>
        <v>0.30769230769230771</v>
      </c>
    </row>
    <row r="10" spans="1:55" x14ac:dyDescent="0.3">
      <c r="A10" s="31" t="s">
        <v>29</v>
      </c>
      <c r="B10" s="32"/>
      <c r="C10" s="32"/>
      <c r="D10" s="32"/>
      <c r="E10" s="32">
        <v>4.3949999999999996</v>
      </c>
      <c r="F10" s="32">
        <v>70.650000000000006</v>
      </c>
      <c r="G10" s="32">
        <f t="shared" si="1"/>
        <v>16.075085324232084</v>
      </c>
      <c r="H10" s="32">
        <v>43.4</v>
      </c>
      <c r="I10" s="32">
        <v>68.53</v>
      </c>
      <c r="J10" s="32">
        <f t="shared" si="2"/>
        <v>1.5790322580645162</v>
      </c>
      <c r="K10" s="32">
        <v>2.98</v>
      </c>
      <c r="L10" s="32">
        <v>50.49</v>
      </c>
      <c r="M10" s="32">
        <f t="shared" si="3"/>
        <v>16.94295302013423</v>
      </c>
      <c r="N10" s="32">
        <v>35</v>
      </c>
      <c r="O10" s="32">
        <v>250</v>
      </c>
      <c r="P10" s="32">
        <f t="shared" si="6"/>
        <v>7.1428571428571432</v>
      </c>
      <c r="Q10" s="32"/>
      <c r="R10" s="32"/>
      <c r="S10" s="32"/>
      <c r="T10" s="32">
        <v>20.57</v>
      </c>
      <c r="U10" s="32">
        <v>32.31</v>
      </c>
      <c r="V10" s="32">
        <f t="shared" si="7"/>
        <v>1.5707340787554691</v>
      </c>
      <c r="W10" s="32">
        <v>370</v>
      </c>
      <c r="X10" s="32">
        <v>280</v>
      </c>
      <c r="Y10" s="32">
        <f>X10/W10</f>
        <v>0.7567567567567568</v>
      </c>
      <c r="Z10" s="32">
        <v>38</v>
      </c>
      <c r="AA10" s="32">
        <v>55</v>
      </c>
      <c r="AB10" s="32">
        <f>AA10/Z10</f>
        <v>1.4473684210526316</v>
      </c>
      <c r="AC10" s="32">
        <v>5</v>
      </c>
      <c r="AD10" s="32">
        <v>14</v>
      </c>
      <c r="AE10" s="32">
        <f>AD10/AC10</f>
        <v>2.8</v>
      </c>
      <c r="AF10" s="32">
        <v>5.87</v>
      </c>
      <c r="AG10" s="32">
        <v>6.37</v>
      </c>
      <c r="AH10" s="32">
        <f t="shared" ref="AH10:AH35" si="9">AG10/AF10</f>
        <v>1.0851788756388416</v>
      </c>
      <c r="AI10" s="32">
        <v>16.600000000000001</v>
      </c>
      <c r="AJ10" s="32">
        <v>21.13</v>
      </c>
      <c r="AK10" s="32">
        <f>AJ10/AI10</f>
        <v>1.2728915662650602</v>
      </c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3">
        <f t="shared" si="0"/>
        <v>541.81500000000005</v>
      </c>
      <c r="BB10" s="33">
        <f t="shared" si="0"/>
        <v>848.48</v>
      </c>
      <c r="BC10" s="9">
        <f t="shared" si="4"/>
        <v>1.5659957734651124</v>
      </c>
    </row>
    <row r="11" spans="1:55" x14ac:dyDescent="0.3">
      <c r="A11" s="31" t="s">
        <v>30</v>
      </c>
      <c r="B11" s="32"/>
      <c r="C11" s="32"/>
      <c r="D11" s="32"/>
      <c r="E11" s="32">
        <v>0.44500000000000001</v>
      </c>
      <c r="F11" s="32">
        <v>5.65</v>
      </c>
      <c r="G11" s="32">
        <f t="shared" si="1"/>
        <v>12.696629213483147</v>
      </c>
      <c r="H11" s="32">
        <v>2.4300000000000002</v>
      </c>
      <c r="I11" s="32">
        <v>4.22</v>
      </c>
      <c r="J11" s="32">
        <f t="shared" si="2"/>
        <v>1.736625514403292</v>
      </c>
      <c r="K11" s="32">
        <v>1.33</v>
      </c>
      <c r="L11" s="32">
        <v>23.84</v>
      </c>
      <c r="M11" s="32">
        <f t="shared" si="3"/>
        <v>17.924812030075188</v>
      </c>
      <c r="N11" s="32">
        <v>4.4400000000000004</v>
      </c>
      <c r="O11" s="32">
        <v>35.83</v>
      </c>
      <c r="P11" s="32">
        <f t="shared" si="6"/>
        <v>8.0698198198198181</v>
      </c>
      <c r="Q11" s="32"/>
      <c r="R11" s="32"/>
      <c r="S11" s="32"/>
      <c r="T11" s="32">
        <v>2.4300000000000002</v>
      </c>
      <c r="U11" s="32">
        <v>4.41</v>
      </c>
      <c r="V11" s="32">
        <f t="shared" si="7"/>
        <v>1.8148148148148147</v>
      </c>
      <c r="W11" s="32"/>
      <c r="X11" s="32"/>
      <c r="Y11" s="32"/>
      <c r="Z11" s="32">
        <v>0.27</v>
      </c>
      <c r="AA11" s="32">
        <v>0.17</v>
      </c>
      <c r="AB11" s="32">
        <f t="shared" ref="AB11:AB35" si="10">AA11/Z11</f>
        <v>0.62962962962962965</v>
      </c>
      <c r="AC11" s="32">
        <v>4.78</v>
      </c>
      <c r="AD11" s="32">
        <v>8.6999999999999993</v>
      </c>
      <c r="AE11" s="32">
        <f t="shared" ref="AE11:AE35" si="11">AD11/AC11</f>
        <v>1.8200836820083679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3">
        <f t="shared" si="0"/>
        <v>16.125</v>
      </c>
      <c r="BB11" s="33">
        <f t="shared" si="0"/>
        <v>82.82</v>
      </c>
      <c r="BC11" s="9">
        <f t="shared" si="4"/>
        <v>5.1361240310077516</v>
      </c>
    </row>
    <row r="12" spans="1:55" x14ac:dyDescent="0.3">
      <c r="A12" s="31" t="s">
        <v>31</v>
      </c>
      <c r="B12" s="32"/>
      <c r="C12" s="32"/>
      <c r="D12" s="32"/>
      <c r="E12" s="32">
        <v>3.23</v>
      </c>
      <c r="F12" s="32">
        <v>7.64</v>
      </c>
      <c r="G12" s="32">
        <f t="shared" si="1"/>
        <v>2.3653250773993806</v>
      </c>
      <c r="H12" s="32">
        <v>0.63</v>
      </c>
      <c r="I12" s="32">
        <v>0.2</v>
      </c>
      <c r="J12" s="32">
        <f t="shared" si="2"/>
        <v>0.3174603174603175</v>
      </c>
      <c r="K12" s="32">
        <v>0.2</v>
      </c>
      <c r="L12" s="32">
        <v>0.11</v>
      </c>
      <c r="M12" s="32">
        <f t="shared" si="3"/>
        <v>0.54999999999999993</v>
      </c>
      <c r="N12" s="32">
        <v>4.1500000000000004</v>
      </c>
      <c r="O12" s="32">
        <v>6.14</v>
      </c>
      <c r="P12" s="32">
        <f t="shared" si="6"/>
        <v>1.4795180722891563</v>
      </c>
      <c r="Q12" s="32"/>
      <c r="R12" s="32"/>
      <c r="S12" s="32"/>
      <c r="T12" s="32">
        <v>0.14000000000000001</v>
      </c>
      <c r="U12" s="32">
        <v>0.05</v>
      </c>
      <c r="V12" s="32">
        <f t="shared" si="7"/>
        <v>0.35714285714285715</v>
      </c>
      <c r="W12" s="32">
        <v>0.08</v>
      </c>
      <c r="X12" s="32">
        <v>0.02</v>
      </c>
      <c r="Y12" s="32">
        <f t="shared" ref="Y12:Y35" si="12">X12/W12</f>
        <v>0.25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3">
        <f t="shared" si="0"/>
        <v>8.4300000000000015</v>
      </c>
      <c r="BB12" s="33">
        <f t="shared" si="0"/>
        <v>14.16</v>
      </c>
      <c r="BC12" s="9">
        <f t="shared" si="4"/>
        <v>1.6797153024911029</v>
      </c>
    </row>
    <row r="13" spans="1:55" x14ac:dyDescent="0.3">
      <c r="A13" s="31" t="s">
        <v>32</v>
      </c>
      <c r="B13" s="32"/>
      <c r="C13" s="32"/>
      <c r="D13" s="32"/>
      <c r="E13" s="32">
        <v>3.4000000000000002E-2</v>
      </c>
      <c r="F13" s="32">
        <v>0.04</v>
      </c>
      <c r="G13" s="32">
        <f t="shared" si="1"/>
        <v>1.1764705882352942</v>
      </c>
      <c r="H13" s="32">
        <v>0.56000000000000005</v>
      </c>
      <c r="I13" s="32">
        <v>0.54</v>
      </c>
      <c r="J13" s="32">
        <f t="shared" si="2"/>
        <v>0.9642857142857143</v>
      </c>
      <c r="K13" s="32">
        <v>0.02</v>
      </c>
      <c r="L13" s="32">
        <v>0.02</v>
      </c>
      <c r="M13" s="32">
        <f t="shared" si="3"/>
        <v>1</v>
      </c>
      <c r="N13" s="32">
        <v>0.54</v>
      </c>
      <c r="O13" s="32">
        <v>0.46</v>
      </c>
      <c r="P13" s="32">
        <f t="shared" si="6"/>
        <v>0.85185185185185186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>
        <v>3.79</v>
      </c>
      <c r="AY13" s="32">
        <v>0.01</v>
      </c>
      <c r="AZ13" s="32">
        <f t="shared" ref="AZ13:AZ35" si="13">AY13/AX13</f>
        <v>2.6385224274406332E-3</v>
      </c>
      <c r="BA13" s="33">
        <f t="shared" si="0"/>
        <v>4.944</v>
      </c>
      <c r="BB13" s="33">
        <f t="shared" si="0"/>
        <v>1.07</v>
      </c>
      <c r="BC13" s="9">
        <f t="shared" si="4"/>
        <v>0.21642394822006475</v>
      </c>
    </row>
    <row r="14" spans="1:55" x14ac:dyDescent="0.3">
      <c r="A14" s="31" t="s">
        <v>33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3">
        <f t="shared" si="0"/>
        <v>0</v>
      </c>
      <c r="BB14" s="33">
        <f t="shared" si="0"/>
        <v>0</v>
      </c>
      <c r="BC14" s="9"/>
    </row>
    <row r="15" spans="1:55" x14ac:dyDescent="0.3">
      <c r="A15" s="31" t="s">
        <v>34</v>
      </c>
      <c r="B15" s="32">
        <v>28.28</v>
      </c>
      <c r="C15" s="32">
        <v>8.0299999999999994</v>
      </c>
      <c r="D15" s="32">
        <f t="shared" si="5"/>
        <v>0.2839462517680339</v>
      </c>
      <c r="E15" s="32">
        <v>15.711</v>
      </c>
      <c r="F15" s="32">
        <v>50.05</v>
      </c>
      <c r="G15" s="32">
        <f t="shared" si="1"/>
        <v>3.1856660938196164</v>
      </c>
      <c r="H15" s="32">
        <v>89.56</v>
      </c>
      <c r="I15" s="32">
        <v>111.55</v>
      </c>
      <c r="J15" s="32">
        <f t="shared" si="2"/>
        <v>1.2455337204108976</v>
      </c>
      <c r="K15" s="32">
        <v>13.98</v>
      </c>
      <c r="L15" s="32">
        <v>65.41</v>
      </c>
      <c r="M15" s="32">
        <f t="shared" si="3"/>
        <v>4.6788268955650922</v>
      </c>
      <c r="N15" s="32">
        <v>4.7300000000000004</v>
      </c>
      <c r="O15" s="32">
        <v>8.42</v>
      </c>
      <c r="P15" s="32">
        <f t="shared" si="6"/>
        <v>1.7801268498942915</v>
      </c>
      <c r="Q15" s="32">
        <v>18.68</v>
      </c>
      <c r="R15" s="32">
        <v>1.51</v>
      </c>
      <c r="S15" s="32">
        <f t="shared" ref="S15:S35" si="14">R15/Q15</f>
        <v>8.0835117773019272E-2</v>
      </c>
      <c r="T15" s="32">
        <v>1.22</v>
      </c>
      <c r="U15" s="32">
        <v>0.54</v>
      </c>
      <c r="V15" s="32">
        <f t="shared" si="7"/>
        <v>0.44262295081967218</v>
      </c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0.04</v>
      </c>
      <c r="AM15" s="32">
        <v>0.01</v>
      </c>
      <c r="AN15" s="32">
        <f t="shared" ref="AN15:AN35" si="15">AM15/AL15</f>
        <v>0.25</v>
      </c>
      <c r="AO15" s="32">
        <v>0.15</v>
      </c>
      <c r="AP15" s="32">
        <v>0.15</v>
      </c>
      <c r="AQ15" s="32">
        <f t="shared" si="8"/>
        <v>1</v>
      </c>
      <c r="AR15" s="32">
        <v>0.12</v>
      </c>
      <c r="AS15" s="32">
        <v>0.17</v>
      </c>
      <c r="AT15" s="32">
        <f t="shared" ref="AT15:AT35" si="16">AS15/AR15</f>
        <v>1.4166666666666667</v>
      </c>
      <c r="AU15" s="32">
        <v>16.8</v>
      </c>
      <c r="AV15" s="32">
        <v>87</v>
      </c>
      <c r="AW15" s="32">
        <f t="shared" ref="AW15:AW35" si="17">AV15/AU15</f>
        <v>5.1785714285714279</v>
      </c>
      <c r="AX15" s="32">
        <v>2.52</v>
      </c>
      <c r="AY15" s="32">
        <v>0.99</v>
      </c>
      <c r="AZ15" s="32">
        <f t="shared" si="13"/>
        <v>0.39285714285714285</v>
      </c>
      <c r="BA15" s="33">
        <f t="shared" si="0"/>
        <v>191.791</v>
      </c>
      <c r="BB15" s="33">
        <f t="shared" si="0"/>
        <v>333.82999999999993</v>
      </c>
      <c r="BC15" s="9">
        <f t="shared" si="4"/>
        <v>1.7405926242628691</v>
      </c>
    </row>
    <row r="16" spans="1:55" x14ac:dyDescent="0.3">
      <c r="A16" s="31" t="s">
        <v>35</v>
      </c>
      <c r="B16" s="32">
        <v>84.88</v>
      </c>
      <c r="C16" s="32">
        <v>38.67</v>
      </c>
      <c r="D16" s="32">
        <f t="shared" si="5"/>
        <v>0.45558435438265793</v>
      </c>
      <c r="E16" s="32">
        <v>4.4359999999999999</v>
      </c>
      <c r="F16" s="32">
        <v>21.25</v>
      </c>
      <c r="G16" s="32">
        <f t="shared" si="1"/>
        <v>4.7903516681695217</v>
      </c>
      <c r="H16" s="32">
        <v>1.34</v>
      </c>
      <c r="I16" s="32">
        <v>1.29</v>
      </c>
      <c r="J16" s="32">
        <f t="shared" si="2"/>
        <v>0.96268656716417911</v>
      </c>
      <c r="K16" s="32">
        <v>2.63</v>
      </c>
      <c r="L16" s="32">
        <v>6.9</v>
      </c>
      <c r="M16" s="32">
        <f t="shared" si="3"/>
        <v>2.6235741444866925</v>
      </c>
      <c r="N16" s="32">
        <v>7.0000000000000007E-2</v>
      </c>
      <c r="O16" s="32">
        <v>0.4</v>
      </c>
      <c r="P16" s="32">
        <f t="shared" si="6"/>
        <v>5.7142857142857144</v>
      </c>
      <c r="Q16" s="32">
        <v>39.729999999999997</v>
      </c>
      <c r="R16" s="32">
        <v>12.91</v>
      </c>
      <c r="S16" s="32">
        <f t="shared" si="14"/>
        <v>0.32494336773219235</v>
      </c>
      <c r="T16" s="34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>
        <v>0.14000000000000001</v>
      </c>
      <c r="AM16" s="32">
        <v>0</v>
      </c>
      <c r="AN16" s="32">
        <f t="shared" si="15"/>
        <v>0</v>
      </c>
      <c r="AO16" s="32">
        <v>18.46</v>
      </c>
      <c r="AP16" s="32">
        <v>12.53</v>
      </c>
      <c r="AQ16" s="32">
        <f t="shared" si="8"/>
        <v>0.67876489707475618</v>
      </c>
      <c r="AR16" s="32">
        <v>0.91</v>
      </c>
      <c r="AS16" s="32">
        <v>7.0000000000000007E-2</v>
      </c>
      <c r="AT16" s="32">
        <f t="shared" si="16"/>
        <v>7.6923076923076927E-2</v>
      </c>
      <c r="AU16" s="32">
        <v>14</v>
      </c>
      <c r="AV16" s="32">
        <v>20</v>
      </c>
      <c r="AW16" s="32">
        <f t="shared" si="17"/>
        <v>1.4285714285714286</v>
      </c>
      <c r="AX16" s="32">
        <v>0.36</v>
      </c>
      <c r="AY16" s="32">
        <v>0.04</v>
      </c>
      <c r="AZ16" s="32">
        <f t="shared" si="13"/>
        <v>0.11111111111111112</v>
      </c>
      <c r="BA16" s="33">
        <f t="shared" si="0"/>
        <v>166.95599999999999</v>
      </c>
      <c r="BB16" s="33">
        <f t="shared" si="0"/>
        <v>114.06</v>
      </c>
      <c r="BC16" s="9">
        <f t="shared" si="4"/>
        <v>0.68317400991878108</v>
      </c>
    </row>
    <row r="17" spans="1:55" x14ac:dyDescent="0.3">
      <c r="A17" s="31" t="s">
        <v>36</v>
      </c>
      <c r="B17" s="32"/>
      <c r="C17" s="32"/>
      <c r="D17" s="32"/>
      <c r="E17" s="32">
        <v>9</v>
      </c>
      <c r="F17" s="32">
        <v>15</v>
      </c>
      <c r="G17" s="32">
        <f t="shared" si="1"/>
        <v>1.6666666666666667</v>
      </c>
      <c r="H17" s="32">
        <v>54.41</v>
      </c>
      <c r="I17" s="32">
        <v>93.57</v>
      </c>
      <c r="J17" s="32">
        <f t="shared" si="2"/>
        <v>1.7197206395883109</v>
      </c>
      <c r="K17" s="32">
        <v>1.5</v>
      </c>
      <c r="L17" s="32">
        <v>0.6</v>
      </c>
      <c r="M17" s="32">
        <f t="shared" si="3"/>
        <v>0.39999999999999997</v>
      </c>
      <c r="N17" s="32">
        <v>60</v>
      </c>
      <c r="O17" s="32">
        <v>270</v>
      </c>
      <c r="P17" s="32">
        <f t="shared" si="6"/>
        <v>4.5</v>
      </c>
      <c r="Q17" s="32"/>
      <c r="R17" s="32"/>
      <c r="S17" s="32"/>
      <c r="T17" s="32">
        <v>160</v>
      </c>
      <c r="U17" s="32">
        <v>75</v>
      </c>
      <c r="V17" s="32">
        <f t="shared" si="7"/>
        <v>0.46875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3">
        <f t="shared" si="0"/>
        <v>284.90999999999997</v>
      </c>
      <c r="BB17" s="33">
        <f t="shared" si="0"/>
        <v>454.16999999999996</v>
      </c>
      <c r="BC17" s="9">
        <f t="shared" si="4"/>
        <v>1.594082341792145</v>
      </c>
    </row>
    <row r="18" spans="1:55" x14ac:dyDescent="0.3">
      <c r="A18" s="31" t="s">
        <v>37</v>
      </c>
      <c r="B18" s="32"/>
      <c r="C18" s="32"/>
      <c r="D18" s="32"/>
      <c r="E18" s="36">
        <v>1.06</v>
      </c>
      <c r="F18" s="32">
        <v>1.04</v>
      </c>
      <c r="G18" s="32">
        <f t="shared" si="1"/>
        <v>0.98113207547169812</v>
      </c>
      <c r="H18" s="32">
        <v>99.5</v>
      </c>
      <c r="I18" s="32">
        <v>45.6</v>
      </c>
      <c r="J18" s="32">
        <f t="shared" si="2"/>
        <v>0.45829145728643217</v>
      </c>
      <c r="K18" s="32">
        <v>11</v>
      </c>
      <c r="L18" s="32">
        <v>11</v>
      </c>
      <c r="M18" s="32">
        <f t="shared" si="3"/>
        <v>1</v>
      </c>
      <c r="N18" s="32">
        <v>3.5</v>
      </c>
      <c r="O18" s="32">
        <v>40</v>
      </c>
      <c r="P18" s="32">
        <f t="shared" si="6"/>
        <v>11.428571428571429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>
        <v>5.7</v>
      </c>
      <c r="AV18" s="32">
        <v>11.4</v>
      </c>
      <c r="AW18" s="32">
        <f t="shared" si="17"/>
        <v>2</v>
      </c>
      <c r="AX18" s="32"/>
      <c r="AY18" s="32"/>
      <c r="AZ18" s="32"/>
      <c r="BA18" s="33">
        <f t="shared" si="0"/>
        <v>120.76</v>
      </c>
      <c r="BB18" s="33">
        <f t="shared" si="0"/>
        <v>109.04</v>
      </c>
      <c r="BC18" s="9">
        <f t="shared" si="4"/>
        <v>0.90294799602517395</v>
      </c>
    </row>
    <row r="19" spans="1:55" x14ac:dyDescent="0.3">
      <c r="A19" s="37" t="s">
        <v>38</v>
      </c>
      <c r="B19" s="32"/>
      <c r="C19" s="32"/>
      <c r="D19" s="32"/>
      <c r="E19" s="32">
        <v>2.4</v>
      </c>
      <c r="F19" s="32">
        <v>3.84</v>
      </c>
      <c r="G19" s="32">
        <f t="shared" si="1"/>
        <v>1.6</v>
      </c>
      <c r="H19" s="32">
        <v>6.5</v>
      </c>
      <c r="I19" s="32">
        <v>3.9</v>
      </c>
      <c r="J19" s="32">
        <f t="shared" si="2"/>
        <v>0.6</v>
      </c>
      <c r="K19" s="32">
        <v>1.4</v>
      </c>
      <c r="L19" s="32">
        <v>16.399999999999999</v>
      </c>
      <c r="M19" s="32">
        <f t="shared" si="3"/>
        <v>11.714285714285714</v>
      </c>
      <c r="N19" s="32">
        <v>0.17</v>
      </c>
      <c r="O19" s="32">
        <v>0</v>
      </c>
      <c r="P19" s="32">
        <f t="shared" si="6"/>
        <v>0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>
        <f t="shared" si="0"/>
        <v>10.47</v>
      </c>
      <c r="BB19" s="33">
        <f t="shared" si="0"/>
        <v>24.14</v>
      </c>
      <c r="BC19" s="9">
        <f t="shared" si="4"/>
        <v>2.305635148042025</v>
      </c>
    </row>
    <row r="20" spans="1:55" x14ac:dyDescent="0.3">
      <c r="A20" s="31" t="s">
        <v>39</v>
      </c>
      <c r="B20" s="32">
        <v>0.95</v>
      </c>
      <c r="C20" s="32">
        <v>0.64</v>
      </c>
      <c r="D20" s="32">
        <f t="shared" si="5"/>
        <v>0.67368421052631589</v>
      </c>
      <c r="E20" s="32">
        <v>9.6419999999999995</v>
      </c>
      <c r="F20" s="32">
        <v>62.99</v>
      </c>
      <c r="G20" s="32">
        <f t="shared" si="1"/>
        <v>6.5328769964737612</v>
      </c>
      <c r="H20" s="32">
        <v>2.0099999999999998</v>
      </c>
      <c r="I20" s="32">
        <v>1.56</v>
      </c>
      <c r="J20" s="32">
        <f t="shared" si="2"/>
        <v>0.77611940298507476</v>
      </c>
      <c r="K20" s="32">
        <v>2.17</v>
      </c>
      <c r="L20" s="32">
        <v>12.53</v>
      </c>
      <c r="M20" s="32">
        <f t="shared" si="3"/>
        <v>5.774193548387097</v>
      </c>
      <c r="N20" s="32">
        <v>0.28000000000000003</v>
      </c>
      <c r="O20" s="32">
        <v>1.1100000000000001</v>
      </c>
      <c r="P20" s="32">
        <f t="shared" si="6"/>
        <v>3.9642857142857144</v>
      </c>
      <c r="Q20" s="32"/>
      <c r="R20" s="32"/>
      <c r="S20" s="32"/>
      <c r="T20" s="32">
        <v>0.01</v>
      </c>
      <c r="U20" s="32">
        <v>0.05</v>
      </c>
      <c r="V20" s="32">
        <f t="shared" si="7"/>
        <v>5</v>
      </c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2.44</v>
      </c>
      <c r="AM20" s="32">
        <v>5</v>
      </c>
      <c r="AN20" s="32">
        <f t="shared" si="15"/>
        <v>2.0491803278688523</v>
      </c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>
        <f t="shared" si="0"/>
        <v>17.501999999999999</v>
      </c>
      <c r="BB20" s="33">
        <f t="shared" si="0"/>
        <v>83.88</v>
      </c>
      <c r="BC20" s="9">
        <f t="shared" si="4"/>
        <v>4.7925951319849158</v>
      </c>
    </row>
    <row r="21" spans="1:55" x14ac:dyDescent="0.3">
      <c r="A21" s="31" t="s">
        <v>40</v>
      </c>
      <c r="B21" s="32">
        <v>7.0000000000000007E-2</v>
      </c>
      <c r="C21" s="32">
        <v>0.01</v>
      </c>
      <c r="D21" s="32">
        <f t="shared" si="5"/>
        <v>0.14285714285714285</v>
      </c>
      <c r="E21" s="32">
        <v>7.28</v>
      </c>
      <c r="F21" s="32">
        <v>28.39</v>
      </c>
      <c r="G21" s="32">
        <f t="shared" si="1"/>
        <v>3.8997252747252746</v>
      </c>
      <c r="H21" s="32">
        <v>9.02</v>
      </c>
      <c r="I21" s="32">
        <v>8.2100000000000009</v>
      </c>
      <c r="J21" s="32">
        <f t="shared" si="2"/>
        <v>0.91019955654102014</v>
      </c>
      <c r="K21" s="32">
        <v>6.05</v>
      </c>
      <c r="L21" s="32">
        <v>22.99</v>
      </c>
      <c r="M21" s="32">
        <f t="shared" si="3"/>
        <v>3.8</v>
      </c>
      <c r="N21" s="32">
        <v>0.02</v>
      </c>
      <c r="O21" s="32">
        <v>0.01</v>
      </c>
      <c r="P21" s="32">
        <f t="shared" si="6"/>
        <v>0.5</v>
      </c>
      <c r="Q21" s="32"/>
      <c r="R21" s="32"/>
      <c r="S21" s="32"/>
      <c r="T21" s="32">
        <v>0.03</v>
      </c>
      <c r="U21" s="32">
        <v>0.01</v>
      </c>
      <c r="V21" s="32">
        <f t="shared" si="7"/>
        <v>0.33333333333333337</v>
      </c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>
        <v>0</v>
      </c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3">
        <f t="shared" si="0"/>
        <v>22.470000000000002</v>
      </c>
      <c r="BB21" s="33">
        <f t="shared" si="0"/>
        <v>59.61999999999999</v>
      </c>
      <c r="BC21" s="9">
        <f t="shared" si="4"/>
        <v>2.653315531820204</v>
      </c>
    </row>
    <row r="22" spans="1:55" x14ac:dyDescent="0.3">
      <c r="A22" s="35" t="s">
        <v>41</v>
      </c>
      <c r="B22" s="32">
        <v>0.23</v>
      </c>
      <c r="C22" s="32">
        <v>0.01</v>
      </c>
      <c r="D22" s="32">
        <f t="shared" si="5"/>
        <v>4.3478260869565216E-2</v>
      </c>
      <c r="E22" s="32">
        <v>5.32</v>
      </c>
      <c r="F22" s="32">
        <v>36</v>
      </c>
      <c r="G22" s="32">
        <f t="shared" si="1"/>
        <v>6.7669172932330826</v>
      </c>
      <c r="H22" s="32">
        <v>0.8</v>
      </c>
      <c r="I22" s="32">
        <v>1</v>
      </c>
      <c r="J22" s="32">
        <f t="shared" si="2"/>
        <v>1.25</v>
      </c>
      <c r="K22" s="32">
        <v>0.12</v>
      </c>
      <c r="L22" s="32">
        <v>0.5</v>
      </c>
      <c r="M22" s="32">
        <f t="shared" si="3"/>
        <v>4.166666666666667</v>
      </c>
      <c r="N22" s="32">
        <v>0.1</v>
      </c>
      <c r="O22" s="32">
        <v>0.15</v>
      </c>
      <c r="P22" s="32">
        <f t="shared" si="6"/>
        <v>1.4999999999999998</v>
      </c>
      <c r="Q22" s="32">
        <v>3.2</v>
      </c>
      <c r="R22" s="32">
        <v>1.5</v>
      </c>
      <c r="S22" s="32">
        <f t="shared" si="14"/>
        <v>0.46875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3">
        <f t="shared" si="0"/>
        <v>9.77</v>
      </c>
      <c r="BB22" s="33">
        <f t="shared" si="0"/>
        <v>39.159999999999997</v>
      </c>
      <c r="BC22" s="9">
        <f t="shared" si="4"/>
        <v>4.0081883316274309</v>
      </c>
    </row>
    <row r="23" spans="1:55" x14ac:dyDescent="0.3">
      <c r="A23" s="31" t="s">
        <v>42</v>
      </c>
      <c r="B23" s="32"/>
      <c r="C23" s="32"/>
      <c r="D23" s="32"/>
      <c r="E23" s="32">
        <v>15.843999999999999</v>
      </c>
      <c r="F23" s="32">
        <v>35</v>
      </c>
      <c r="G23" s="32">
        <f t="shared" si="1"/>
        <v>2.2090381216864428</v>
      </c>
      <c r="H23" s="32">
        <v>75</v>
      </c>
      <c r="I23" s="32">
        <v>70</v>
      </c>
      <c r="J23" s="32">
        <f t="shared" si="2"/>
        <v>0.93333333333333335</v>
      </c>
      <c r="K23" s="32">
        <v>2.48</v>
      </c>
      <c r="L23" s="32">
        <v>30</v>
      </c>
      <c r="M23" s="32">
        <f t="shared" si="3"/>
        <v>12.096774193548388</v>
      </c>
      <c r="N23" s="32">
        <v>10.9</v>
      </c>
      <c r="O23" s="32">
        <v>35.5</v>
      </c>
      <c r="P23" s="32">
        <f t="shared" si="6"/>
        <v>3.2568807339449539</v>
      </c>
      <c r="Q23" s="32"/>
      <c r="R23" s="32"/>
      <c r="S23" s="32"/>
      <c r="T23" s="32">
        <v>19.100000000000001</v>
      </c>
      <c r="U23" s="32">
        <v>11</v>
      </c>
      <c r="V23" s="32">
        <f t="shared" si="7"/>
        <v>0.57591623036649209</v>
      </c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3">
        <f t="shared" si="0"/>
        <v>123.32400000000001</v>
      </c>
      <c r="BB23" s="33">
        <f t="shared" si="0"/>
        <v>181.5</v>
      </c>
      <c r="BC23" s="9">
        <f t="shared" si="4"/>
        <v>1.4717329960105088</v>
      </c>
    </row>
    <row r="24" spans="1:55" x14ac:dyDescent="0.3">
      <c r="A24" s="35" t="s">
        <v>43</v>
      </c>
      <c r="B24" s="32">
        <v>0.01</v>
      </c>
      <c r="C24" s="32">
        <v>0.01</v>
      </c>
      <c r="D24" s="32">
        <f t="shared" si="5"/>
        <v>1</v>
      </c>
      <c r="E24" s="32"/>
      <c r="F24" s="32"/>
      <c r="G24" s="32"/>
      <c r="H24" s="32">
        <v>0.01</v>
      </c>
      <c r="I24" s="32">
        <v>0.01</v>
      </c>
      <c r="J24" s="32">
        <f t="shared" si="2"/>
        <v>1</v>
      </c>
      <c r="K24" s="32">
        <v>0.01</v>
      </c>
      <c r="L24" s="32">
        <v>0.01</v>
      </c>
      <c r="M24" s="32">
        <f t="shared" si="3"/>
        <v>1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>
        <v>0.06</v>
      </c>
      <c r="AV24" s="32">
        <v>0.35</v>
      </c>
      <c r="AW24" s="32">
        <f t="shared" si="17"/>
        <v>5.833333333333333</v>
      </c>
      <c r="AX24" s="32"/>
      <c r="AY24" s="32"/>
      <c r="AZ24" s="32"/>
      <c r="BA24" s="33">
        <f t="shared" si="0"/>
        <v>0.09</v>
      </c>
      <c r="BB24" s="33">
        <f t="shared" si="0"/>
        <v>0.38</v>
      </c>
      <c r="BC24" s="9">
        <f t="shared" si="4"/>
        <v>4.2222222222222223</v>
      </c>
    </row>
    <row r="25" spans="1:55" x14ac:dyDescent="0.3">
      <c r="A25" s="31" t="s">
        <v>44</v>
      </c>
      <c r="B25" s="32"/>
      <c r="C25" s="32"/>
      <c r="D25" s="32"/>
      <c r="E25" s="32"/>
      <c r="F25" s="32"/>
      <c r="G25" s="32"/>
      <c r="H25" s="32">
        <v>10.6</v>
      </c>
      <c r="I25" s="32">
        <v>17.7</v>
      </c>
      <c r="J25" s="32">
        <f t="shared" si="2"/>
        <v>1.6698113207547169</v>
      </c>
      <c r="K25" s="32">
        <v>0.76</v>
      </c>
      <c r="L25" s="32">
        <v>2.71</v>
      </c>
      <c r="M25" s="32">
        <f t="shared" si="3"/>
        <v>3.5657894736842106</v>
      </c>
      <c r="N25" s="32">
        <v>3.7</v>
      </c>
      <c r="O25" s="32">
        <v>45</v>
      </c>
      <c r="P25" s="32">
        <f t="shared" si="6"/>
        <v>12.162162162162161</v>
      </c>
      <c r="Q25" s="32"/>
      <c r="R25" s="32"/>
      <c r="S25" s="32"/>
      <c r="T25" s="32"/>
      <c r="U25" s="32"/>
      <c r="V25" s="32"/>
      <c r="W25" s="32"/>
      <c r="X25" s="32"/>
      <c r="Y25" s="32"/>
      <c r="Z25" s="34"/>
      <c r="AA25" s="34"/>
      <c r="AB25" s="32"/>
      <c r="AC25" s="32"/>
      <c r="AD25" s="32"/>
      <c r="AE25" s="32"/>
      <c r="AF25" s="32"/>
      <c r="AG25" s="32"/>
      <c r="AH25" s="32"/>
      <c r="AI25" s="32">
        <v>4.07</v>
      </c>
      <c r="AJ25" s="32">
        <v>5.51</v>
      </c>
      <c r="AK25" s="32">
        <f t="shared" ref="AK25:AK35" si="18">AJ25/AI25</f>
        <v>1.3538083538083536</v>
      </c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3">
        <f t="shared" si="0"/>
        <v>19.13</v>
      </c>
      <c r="BB25" s="33">
        <f t="shared" si="0"/>
        <v>70.92</v>
      </c>
      <c r="BC25" s="9">
        <f t="shared" si="4"/>
        <v>3.70726607422896</v>
      </c>
    </row>
    <row r="26" spans="1:55" x14ac:dyDescent="0.3">
      <c r="A26" s="31" t="s">
        <v>45</v>
      </c>
      <c r="B26" s="32"/>
      <c r="C26" s="32"/>
      <c r="D26" s="32"/>
      <c r="E26" s="32">
        <v>0.122</v>
      </c>
      <c r="F26" s="32">
        <v>0.25</v>
      </c>
      <c r="G26" s="32">
        <f t="shared" si="1"/>
        <v>2.0491803278688523</v>
      </c>
      <c r="H26" s="32">
        <v>6.72</v>
      </c>
      <c r="I26" s="32">
        <v>11.28</v>
      </c>
      <c r="J26" s="32">
        <f t="shared" si="2"/>
        <v>1.6785714285714286</v>
      </c>
      <c r="K26" s="32">
        <v>0.14000000000000001</v>
      </c>
      <c r="L26" s="32">
        <v>0.39</v>
      </c>
      <c r="M26" s="32">
        <f t="shared" si="3"/>
        <v>2.7857142857142856</v>
      </c>
      <c r="N26" s="32">
        <v>45.02</v>
      </c>
      <c r="O26" s="32">
        <v>218.42</v>
      </c>
      <c r="P26" s="32">
        <f t="shared" si="6"/>
        <v>4.851621501554864</v>
      </c>
      <c r="Q26" s="32"/>
      <c r="R26" s="32"/>
      <c r="S26" s="32"/>
      <c r="T26" s="32">
        <v>182.73</v>
      </c>
      <c r="U26" s="32">
        <v>117.08</v>
      </c>
      <c r="V26" s="32">
        <f t="shared" si="7"/>
        <v>0.64072675532205992</v>
      </c>
      <c r="W26" s="32">
        <v>488.82</v>
      </c>
      <c r="X26" s="32">
        <v>233.82</v>
      </c>
      <c r="Y26" s="32">
        <f t="shared" si="12"/>
        <v>0.47833558365042345</v>
      </c>
      <c r="Z26" s="32">
        <v>15.16</v>
      </c>
      <c r="AA26" s="32">
        <v>14.28</v>
      </c>
      <c r="AB26" s="32">
        <f t="shared" si="10"/>
        <v>0.94195250659630603</v>
      </c>
      <c r="AC26" s="32">
        <v>55.38</v>
      </c>
      <c r="AD26" s="32">
        <v>64.099999999999994</v>
      </c>
      <c r="AE26" s="32">
        <f t="shared" si="11"/>
        <v>1.15745756590827</v>
      </c>
      <c r="AF26" s="32">
        <v>12.62</v>
      </c>
      <c r="AG26" s="32">
        <v>9.2200000000000006</v>
      </c>
      <c r="AH26" s="32">
        <f t="shared" si="9"/>
        <v>0.73058637083993672</v>
      </c>
      <c r="AI26" s="32">
        <v>12.8</v>
      </c>
      <c r="AJ26" s="32">
        <v>6</v>
      </c>
      <c r="AK26" s="32">
        <f t="shared" si="18"/>
        <v>0.46875</v>
      </c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3">
        <f t="shared" si="0"/>
        <v>819.51199999999994</v>
      </c>
      <c r="BB26" s="33">
        <f t="shared" si="0"/>
        <v>674.84</v>
      </c>
      <c r="BC26" s="9">
        <f t="shared" si="4"/>
        <v>0.82346567225373157</v>
      </c>
    </row>
    <row r="27" spans="1:55" x14ac:dyDescent="0.3">
      <c r="A27" s="31" t="s">
        <v>46</v>
      </c>
      <c r="B27" s="32"/>
      <c r="C27" s="32"/>
      <c r="D27" s="32"/>
      <c r="E27" s="32">
        <v>9.3000000000000007</v>
      </c>
      <c r="F27" s="32">
        <v>52.11</v>
      </c>
      <c r="G27" s="32">
        <f t="shared" si="1"/>
        <v>5.6032258064516123</v>
      </c>
      <c r="H27" s="32"/>
      <c r="I27" s="32"/>
      <c r="J27" s="32"/>
      <c r="K27" s="32"/>
      <c r="L27" s="32"/>
      <c r="M27" s="32"/>
      <c r="N27" s="32"/>
      <c r="O27" s="32"/>
      <c r="P27" s="32"/>
      <c r="Q27" s="32">
        <v>22.76</v>
      </c>
      <c r="R27" s="32">
        <v>3.69</v>
      </c>
      <c r="S27" s="32">
        <f t="shared" si="14"/>
        <v>0.16212653778558875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3">
        <f t="shared" si="0"/>
        <v>32.06</v>
      </c>
      <c r="BB27" s="33">
        <f t="shared" si="0"/>
        <v>55.8</v>
      </c>
      <c r="BC27" s="9">
        <f t="shared" si="4"/>
        <v>1.7404865876481594</v>
      </c>
    </row>
    <row r="28" spans="1:55" x14ac:dyDescent="0.3">
      <c r="A28" s="31" t="s">
        <v>47</v>
      </c>
      <c r="B28" s="32">
        <v>4.29</v>
      </c>
      <c r="C28" s="32">
        <v>0.98</v>
      </c>
      <c r="D28" s="32">
        <f t="shared" si="5"/>
        <v>0.22843822843822842</v>
      </c>
      <c r="E28" s="32">
        <v>0.72699999999999998</v>
      </c>
      <c r="F28" s="32">
        <v>7.01</v>
      </c>
      <c r="G28" s="32">
        <f t="shared" si="1"/>
        <v>9.6423658872077027</v>
      </c>
      <c r="H28" s="32">
        <v>50.67</v>
      </c>
      <c r="I28" s="32">
        <v>23.06</v>
      </c>
      <c r="J28" s="32">
        <f t="shared" si="2"/>
        <v>0.45510163805012827</v>
      </c>
      <c r="K28" s="32">
        <v>76.98</v>
      </c>
      <c r="L28" s="32">
        <v>461.99</v>
      </c>
      <c r="M28" s="32">
        <f t="shared" si="3"/>
        <v>6.0014289425824892</v>
      </c>
      <c r="N28" s="32">
        <v>0.45</v>
      </c>
      <c r="O28" s="32">
        <v>2.59</v>
      </c>
      <c r="P28" s="32">
        <f t="shared" si="6"/>
        <v>5.7555555555555555</v>
      </c>
      <c r="Q28" s="32">
        <v>5.16</v>
      </c>
      <c r="R28" s="32">
        <v>0.95</v>
      </c>
      <c r="S28" s="32">
        <f t="shared" si="14"/>
        <v>0.18410852713178294</v>
      </c>
      <c r="T28" s="32">
        <v>9.59</v>
      </c>
      <c r="U28" s="32">
        <v>4.0999999999999996</v>
      </c>
      <c r="V28" s="32">
        <f t="shared" si="7"/>
        <v>0.42752867570385816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>
        <v>0.05</v>
      </c>
      <c r="AP28" s="32"/>
      <c r="AQ28" s="32">
        <f t="shared" si="8"/>
        <v>0</v>
      </c>
      <c r="AR28" s="32">
        <v>0.87</v>
      </c>
      <c r="AS28" s="32">
        <v>0.82</v>
      </c>
      <c r="AT28" s="32">
        <f t="shared" si="16"/>
        <v>0.94252873563218387</v>
      </c>
      <c r="AU28" s="32">
        <v>16.64</v>
      </c>
      <c r="AV28" s="32">
        <v>53</v>
      </c>
      <c r="AW28" s="32">
        <f t="shared" si="17"/>
        <v>3.1850961538461537</v>
      </c>
      <c r="AX28" s="32">
        <v>0.56999999999999995</v>
      </c>
      <c r="AY28" s="32">
        <v>0.02</v>
      </c>
      <c r="AZ28" s="32">
        <f t="shared" si="13"/>
        <v>3.5087719298245619E-2</v>
      </c>
      <c r="BA28" s="33">
        <f t="shared" si="0"/>
        <v>165.99700000000001</v>
      </c>
      <c r="BB28" s="33">
        <f t="shared" si="0"/>
        <v>554.52</v>
      </c>
      <c r="BC28" s="9">
        <f t="shared" si="4"/>
        <v>3.3405422989572098</v>
      </c>
    </row>
    <row r="29" spans="1:55" x14ac:dyDescent="0.3">
      <c r="A29" s="31" t="s">
        <v>56</v>
      </c>
      <c r="B29" s="32"/>
      <c r="C29" s="32"/>
      <c r="D29" s="32"/>
      <c r="E29" s="32">
        <v>1.7709999999999999</v>
      </c>
      <c r="F29" s="32">
        <v>12.73</v>
      </c>
      <c r="G29" s="32">
        <f t="shared" si="1"/>
        <v>7.188029361942406</v>
      </c>
      <c r="H29" s="32">
        <v>78.94</v>
      </c>
      <c r="I29" s="32">
        <v>279.77999999999997</v>
      </c>
      <c r="J29" s="32">
        <f t="shared" si="2"/>
        <v>3.544210793007347</v>
      </c>
      <c r="K29" s="32">
        <v>49.64</v>
      </c>
      <c r="L29" s="32">
        <v>252.06</v>
      </c>
      <c r="M29" s="32">
        <f t="shared" si="3"/>
        <v>5.0777598710717164</v>
      </c>
      <c r="N29" s="32">
        <v>0.28000000000000003</v>
      </c>
      <c r="O29" s="32">
        <v>1.5</v>
      </c>
      <c r="P29" s="32">
        <f t="shared" si="6"/>
        <v>5.3571428571428568</v>
      </c>
      <c r="Q29" s="32"/>
      <c r="R29" s="32"/>
      <c r="S29" s="32"/>
      <c r="T29" s="32">
        <v>1.38</v>
      </c>
      <c r="U29" s="32">
        <v>0.93</v>
      </c>
      <c r="V29" s="32">
        <f t="shared" si="7"/>
        <v>0.67391304347826098</v>
      </c>
      <c r="W29" s="32"/>
      <c r="X29" s="32"/>
      <c r="Y29" s="32"/>
      <c r="Z29" s="32"/>
      <c r="AA29" s="32"/>
      <c r="AB29" s="32"/>
      <c r="AC29" s="32"/>
      <c r="AD29" s="32"/>
      <c r="AE29" s="32"/>
      <c r="AF29" s="32">
        <v>1.55</v>
      </c>
      <c r="AG29" s="32">
        <v>0.73</v>
      </c>
      <c r="AH29" s="32">
        <f t="shared" si="9"/>
        <v>0.47096774193548385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>
        <v>0.62</v>
      </c>
      <c r="AV29" s="32">
        <v>3.74</v>
      </c>
      <c r="AW29" s="32">
        <f t="shared" si="17"/>
        <v>6.032258064516129</v>
      </c>
      <c r="AX29" s="32"/>
      <c r="AY29" s="32"/>
      <c r="AZ29" s="32"/>
      <c r="BA29" s="33">
        <f t="shared" si="0"/>
        <v>134.18100000000001</v>
      </c>
      <c r="BB29" s="33">
        <f t="shared" si="0"/>
        <v>551.46999999999991</v>
      </c>
      <c r="BC29" s="9">
        <f t="shared" si="4"/>
        <v>4.1098963340562369</v>
      </c>
    </row>
    <row r="30" spans="1:55" x14ac:dyDescent="0.3">
      <c r="A30" s="31" t="s">
        <v>48</v>
      </c>
      <c r="B30" s="32">
        <v>0.24</v>
      </c>
      <c r="C30" s="32">
        <v>0.15</v>
      </c>
      <c r="D30" s="32">
        <f t="shared" si="5"/>
        <v>0.625</v>
      </c>
      <c r="E30" s="32">
        <v>1.8</v>
      </c>
      <c r="F30" s="32">
        <v>7.6</v>
      </c>
      <c r="G30" s="32">
        <f t="shared" si="1"/>
        <v>4.2222222222222223</v>
      </c>
      <c r="H30" s="32">
        <v>2.35</v>
      </c>
      <c r="I30" s="32">
        <v>3.7</v>
      </c>
      <c r="J30" s="32">
        <f t="shared" si="2"/>
        <v>1.574468085106383</v>
      </c>
      <c r="K30" s="32">
        <v>1.3</v>
      </c>
      <c r="L30" s="32">
        <v>6.59</v>
      </c>
      <c r="M30" s="32">
        <f t="shared" si="3"/>
        <v>5.069230769230769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3">
        <f t="shared" si="0"/>
        <v>5.69</v>
      </c>
      <c r="BB30" s="33">
        <f t="shared" si="0"/>
        <v>18.04</v>
      </c>
      <c r="BC30" s="9">
        <f t="shared" si="4"/>
        <v>3.1704745166959576</v>
      </c>
    </row>
    <row r="31" spans="1:55" x14ac:dyDescent="0.3">
      <c r="A31" s="31" t="s">
        <v>49</v>
      </c>
      <c r="B31" s="32"/>
      <c r="C31" s="32"/>
      <c r="D31" s="32"/>
      <c r="E31" s="32">
        <v>0.81299999999999994</v>
      </c>
      <c r="F31" s="32">
        <v>4.17</v>
      </c>
      <c r="G31" s="32">
        <f t="shared" si="1"/>
        <v>5.1291512915129154</v>
      </c>
      <c r="H31" s="32">
        <v>13.77</v>
      </c>
      <c r="I31" s="32">
        <v>11.11</v>
      </c>
      <c r="J31" s="32">
        <f t="shared" si="2"/>
        <v>0.80682643427741463</v>
      </c>
      <c r="K31" s="32">
        <v>2</v>
      </c>
      <c r="L31" s="32">
        <v>6</v>
      </c>
      <c r="M31" s="32">
        <f t="shared" si="3"/>
        <v>3</v>
      </c>
      <c r="N31" s="32">
        <v>37.24</v>
      </c>
      <c r="O31" s="32">
        <v>218.18</v>
      </c>
      <c r="P31" s="32">
        <f t="shared" si="6"/>
        <v>5.8587540279269605</v>
      </c>
      <c r="Q31" s="32"/>
      <c r="R31" s="32"/>
      <c r="S31" s="32"/>
      <c r="T31" s="32">
        <v>6.73</v>
      </c>
      <c r="U31" s="32">
        <v>3.68</v>
      </c>
      <c r="V31" s="32">
        <f t="shared" si="7"/>
        <v>0.54680534918276369</v>
      </c>
      <c r="W31" s="32">
        <v>0</v>
      </c>
      <c r="X31" s="32">
        <v>0.01</v>
      </c>
      <c r="Y31" s="32"/>
      <c r="Z31" s="32">
        <v>0.73</v>
      </c>
      <c r="AA31" s="32">
        <v>0.67</v>
      </c>
      <c r="AB31" s="32">
        <f t="shared" si="10"/>
        <v>0.91780821917808231</v>
      </c>
      <c r="AC31" s="32">
        <v>0.38</v>
      </c>
      <c r="AD31" s="32">
        <v>0.2</v>
      </c>
      <c r="AE31" s="32">
        <f t="shared" si="11"/>
        <v>0.52631578947368418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3">
        <f t="shared" si="0"/>
        <v>61.662999999999997</v>
      </c>
      <c r="BB31" s="33">
        <f t="shared" si="0"/>
        <v>244.01999999999998</v>
      </c>
      <c r="BC31" s="9">
        <f t="shared" si="4"/>
        <v>3.957316380974004</v>
      </c>
    </row>
    <row r="32" spans="1:55" x14ac:dyDescent="0.3">
      <c r="A32" s="31" t="s">
        <v>50</v>
      </c>
      <c r="B32" s="32"/>
      <c r="C32" s="32"/>
      <c r="D32" s="32"/>
      <c r="E32" s="32">
        <v>2.355</v>
      </c>
      <c r="F32" s="32">
        <v>23.44</v>
      </c>
      <c r="G32" s="32">
        <f t="shared" si="1"/>
        <v>9.9532908704883241</v>
      </c>
      <c r="H32" s="32">
        <v>2</v>
      </c>
      <c r="I32" s="32">
        <v>7.2</v>
      </c>
      <c r="J32" s="32">
        <f t="shared" si="2"/>
        <v>3.6</v>
      </c>
      <c r="K32" s="32">
        <v>1.34</v>
      </c>
      <c r="L32" s="32">
        <v>2.4900000000000002</v>
      </c>
      <c r="M32" s="32">
        <f t="shared" si="3"/>
        <v>1.8582089552238807</v>
      </c>
      <c r="N32" s="32">
        <v>1.0900000000000001</v>
      </c>
      <c r="O32" s="32">
        <v>1.54</v>
      </c>
      <c r="P32" s="32">
        <f t="shared" si="6"/>
        <v>1.4128440366972477</v>
      </c>
      <c r="Q32" s="32"/>
      <c r="R32" s="32"/>
      <c r="S32" s="32"/>
      <c r="T32" s="32">
        <v>0.9</v>
      </c>
      <c r="U32" s="32">
        <v>3.8</v>
      </c>
      <c r="V32" s="32">
        <f t="shared" si="7"/>
        <v>4.2222222222222223</v>
      </c>
      <c r="W32" s="32"/>
      <c r="X32" s="32"/>
      <c r="Y32" s="32"/>
      <c r="Z32" s="32"/>
      <c r="AA32" s="32"/>
      <c r="AB32" s="32"/>
      <c r="AC32" s="32">
        <v>0.4</v>
      </c>
      <c r="AD32" s="32">
        <v>2.61</v>
      </c>
      <c r="AE32" s="32">
        <f t="shared" si="11"/>
        <v>6.5249999999999995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3">
        <f t="shared" si="0"/>
        <v>8.0850000000000009</v>
      </c>
      <c r="BB32" s="33">
        <f t="shared" si="0"/>
        <v>41.08</v>
      </c>
      <c r="BC32" s="9">
        <f t="shared" si="4"/>
        <v>5.0810142238713656</v>
      </c>
    </row>
    <row r="33" spans="1:55" x14ac:dyDescent="0.3">
      <c r="A33" s="31" t="s">
        <v>51</v>
      </c>
      <c r="B33" s="32"/>
      <c r="C33" s="32"/>
      <c r="D33" s="32"/>
      <c r="E33" s="32">
        <v>11.5</v>
      </c>
      <c r="F33" s="32">
        <v>25</v>
      </c>
      <c r="G33" s="32">
        <f t="shared" si="1"/>
        <v>2.1739130434782608</v>
      </c>
      <c r="H33" s="32">
        <v>63.6</v>
      </c>
      <c r="I33" s="32">
        <v>100</v>
      </c>
      <c r="J33" s="32">
        <f t="shared" si="2"/>
        <v>1.5723270440251571</v>
      </c>
      <c r="K33" s="32">
        <v>15.8</v>
      </c>
      <c r="L33" s="32">
        <v>42</v>
      </c>
      <c r="M33" s="32">
        <f t="shared" si="3"/>
        <v>2.6582278481012658</v>
      </c>
      <c r="N33" s="32">
        <v>3.35</v>
      </c>
      <c r="O33" s="32">
        <v>40</v>
      </c>
      <c r="P33" s="32">
        <f t="shared" si="6"/>
        <v>11.940298507462686</v>
      </c>
      <c r="Q33" s="32">
        <v>3.31</v>
      </c>
      <c r="R33" s="32">
        <v>0.72</v>
      </c>
      <c r="S33" s="32">
        <f t="shared" si="14"/>
        <v>0.2175226586102719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3">
        <f t="shared" si="0"/>
        <v>97.559999999999988</v>
      </c>
      <c r="BB33" s="33">
        <f t="shared" si="0"/>
        <v>207.72</v>
      </c>
      <c r="BC33" s="9">
        <f t="shared" si="4"/>
        <v>2.1291512915129154</v>
      </c>
    </row>
    <row r="34" spans="1:55" x14ac:dyDescent="0.3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3"/>
      <c r="BB34" s="33"/>
      <c r="BC34" s="9"/>
    </row>
    <row r="35" spans="1:55" x14ac:dyDescent="0.3">
      <c r="A35" s="31" t="s">
        <v>52</v>
      </c>
      <c r="B35" s="125">
        <f>SUM(B3:B34)</f>
        <v>123.81</v>
      </c>
      <c r="C35" s="180">
        <f t="shared" ref="C35:BB35" si="19">SUM(C3:C34)</f>
        <v>50.86999999999999</v>
      </c>
      <c r="D35" s="38">
        <f t="shared" si="5"/>
        <v>0.41087149664808975</v>
      </c>
      <c r="E35" s="125">
        <f t="shared" si="19"/>
        <v>132.62100000000001</v>
      </c>
      <c r="F35" s="114">
        <f t="shared" si="19"/>
        <v>655.06000000000006</v>
      </c>
      <c r="G35" s="133">
        <f t="shared" si="1"/>
        <v>4.9393384154847269</v>
      </c>
      <c r="H35" s="125">
        <f t="shared" si="19"/>
        <v>774.87000000000012</v>
      </c>
      <c r="I35" s="114">
        <f t="shared" si="19"/>
        <v>1492.1399999999999</v>
      </c>
      <c r="J35" s="38">
        <f t="shared" si="2"/>
        <v>1.925664950249719</v>
      </c>
      <c r="K35" s="125">
        <f t="shared" si="19"/>
        <v>232.67000000000004</v>
      </c>
      <c r="L35" s="114">
        <f t="shared" si="19"/>
        <v>1189.8899999999999</v>
      </c>
      <c r="M35" s="133">
        <f t="shared" si="3"/>
        <v>5.1140671337086845</v>
      </c>
      <c r="N35" s="125">
        <f t="shared" si="19"/>
        <v>230.59</v>
      </c>
      <c r="O35" s="114">
        <f t="shared" si="19"/>
        <v>1251.8799999999999</v>
      </c>
      <c r="P35" s="133">
        <f t="shared" si="6"/>
        <v>5.4290298798733678</v>
      </c>
      <c r="Q35" s="189">
        <f t="shared" si="19"/>
        <v>92.84</v>
      </c>
      <c r="R35" s="200">
        <f t="shared" si="19"/>
        <v>21.279999999999998</v>
      </c>
      <c r="S35" s="38">
        <f t="shared" si="14"/>
        <v>0.22921154674709174</v>
      </c>
      <c r="T35" s="125">
        <f t="shared" si="19"/>
        <v>447.12999999999994</v>
      </c>
      <c r="U35" s="114">
        <f t="shared" si="19"/>
        <v>313.65000000000003</v>
      </c>
      <c r="V35" s="38">
        <f>U35/T35</f>
        <v>0.70147384429584259</v>
      </c>
      <c r="W35" s="125">
        <f t="shared" si="19"/>
        <v>858.9</v>
      </c>
      <c r="X35" s="114">
        <f t="shared" si="19"/>
        <v>513.84999999999991</v>
      </c>
      <c r="Y35" s="38">
        <f t="shared" si="12"/>
        <v>0.59826522295959939</v>
      </c>
      <c r="Z35" s="189">
        <f t="shared" si="19"/>
        <v>54.160000000000004</v>
      </c>
      <c r="AA35" s="180">
        <f t="shared" si="19"/>
        <v>70.12</v>
      </c>
      <c r="AB35" s="38">
        <f t="shared" si="10"/>
        <v>1.2946824224519942</v>
      </c>
      <c r="AC35" s="189">
        <f t="shared" si="19"/>
        <v>65.94</v>
      </c>
      <c r="AD35" s="180">
        <f>SUM(AD3:AD34)</f>
        <v>89.61</v>
      </c>
      <c r="AE35" s="32">
        <f t="shared" si="11"/>
        <v>1.3589626933575978</v>
      </c>
      <c r="AF35" s="189">
        <f t="shared" si="19"/>
        <v>26.669999999999998</v>
      </c>
      <c r="AG35" s="180">
        <f t="shared" si="19"/>
        <v>19.2</v>
      </c>
      <c r="AH35" s="38">
        <f t="shared" si="9"/>
        <v>0.719910011248594</v>
      </c>
      <c r="AI35" s="210">
        <f t="shared" si="19"/>
        <v>33.47</v>
      </c>
      <c r="AJ35" s="180">
        <f t="shared" si="19"/>
        <v>32.64</v>
      </c>
      <c r="AK35" s="38">
        <f t="shared" si="18"/>
        <v>0.97520167314012551</v>
      </c>
      <c r="AL35" s="210">
        <f t="shared" si="19"/>
        <v>2.77</v>
      </c>
      <c r="AM35" s="200">
        <f t="shared" si="19"/>
        <v>5.05</v>
      </c>
      <c r="AN35" s="133">
        <f t="shared" si="15"/>
        <v>1.8231046931407942</v>
      </c>
      <c r="AO35" s="210">
        <f t="shared" si="19"/>
        <v>18.900000000000002</v>
      </c>
      <c r="AP35" s="200">
        <f t="shared" si="19"/>
        <v>12.78</v>
      </c>
      <c r="AQ35" s="38">
        <f t="shared" si="8"/>
        <v>0.67619047619047612</v>
      </c>
      <c r="AR35" s="210">
        <f t="shared" si="19"/>
        <v>2.06</v>
      </c>
      <c r="AS35" s="200">
        <f t="shared" si="19"/>
        <v>1.0699999999999998</v>
      </c>
      <c r="AT35" s="38">
        <f t="shared" si="16"/>
        <v>0.51941747572815522</v>
      </c>
      <c r="AU35" s="189">
        <f t="shared" si="19"/>
        <v>58.59</v>
      </c>
      <c r="AV35" s="114">
        <f t="shared" si="19"/>
        <v>188.13</v>
      </c>
      <c r="AW35" s="133">
        <f t="shared" si="17"/>
        <v>3.2109575012800815</v>
      </c>
      <c r="AX35" s="210">
        <f t="shared" si="19"/>
        <v>7.2500000000000009</v>
      </c>
      <c r="AY35" s="200">
        <f t="shared" si="19"/>
        <v>1.07</v>
      </c>
      <c r="AZ35" s="38">
        <f t="shared" si="13"/>
        <v>0.14758620689655172</v>
      </c>
      <c r="BA35" s="38">
        <f t="shared" si="19"/>
        <v>3163.241</v>
      </c>
      <c r="BB35" s="38">
        <f t="shared" si="19"/>
        <v>5908.29</v>
      </c>
      <c r="BC35" s="9">
        <f t="shared" si="4"/>
        <v>1.867796351906162</v>
      </c>
    </row>
  </sheetData>
  <mergeCells count="18">
    <mergeCell ref="Q1:R1"/>
    <mergeCell ref="B1:C1"/>
    <mergeCell ref="E1:F1"/>
    <mergeCell ref="H1:I1"/>
    <mergeCell ref="K1:L1"/>
    <mergeCell ref="N1:O1"/>
    <mergeCell ref="BA1:BC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593B-ADED-4038-8354-29B8D067E38B}">
  <dimension ref="A1:BC34"/>
  <sheetViews>
    <sheetView topLeftCell="AI19" zoomScale="130" zoomScaleNormal="130" workbookViewId="0">
      <selection activeCell="AX34" sqref="AX34"/>
    </sheetView>
  </sheetViews>
  <sheetFormatPr defaultRowHeight="14.4" x14ac:dyDescent="0.3"/>
  <cols>
    <col min="1" max="1" width="22.33203125" bestFit="1" customWidth="1"/>
  </cols>
  <sheetData>
    <row r="1" spans="1:55" ht="15.6" x14ac:dyDescent="0.3">
      <c r="A1" s="39" t="s">
        <v>54</v>
      </c>
      <c r="B1" s="233" t="s">
        <v>1</v>
      </c>
      <c r="C1" s="233"/>
      <c r="D1" s="40"/>
      <c r="E1" s="233" t="s">
        <v>2</v>
      </c>
      <c r="F1" s="233"/>
      <c r="G1" s="40"/>
      <c r="H1" s="233" t="s">
        <v>3</v>
      </c>
      <c r="I1" s="233"/>
      <c r="J1" s="40"/>
      <c r="K1" s="233" t="s">
        <v>4</v>
      </c>
      <c r="L1" s="233"/>
      <c r="M1" s="40"/>
      <c r="N1" s="233" t="s">
        <v>5</v>
      </c>
      <c r="O1" s="233"/>
      <c r="P1" s="40"/>
      <c r="Q1" s="231" t="s">
        <v>6</v>
      </c>
      <c r="R1" s="231"/>
      <c r="S1" s="41"/>
      <c r="T1" s="231" t="s">
        <v>7</v>
      </c>
      <c r="U1" s="231"/>
      <c r="V1" s="41"/>
      <c r="W1" s="231" t="s">
        <v>8</v>
      </c>
      <c r="X1" s="231"/>
      <c r="Y1" s="41"/>
      <c r="Z1" s="231" t="s">
        <v>9</v>
      </c>
      <c r="AA1" s="231"/>
      <c r="AB1" s="41"/>
      <c r="AC1" s="231" t="s">
        <v>55</v>
      </c>
      <c r="AD1" s="231"/>
      <c r="AE1" s="41"/>
      <c r="AF1" s="231" t="s">
        <v>11</v>
      </c>
      <c r="AG1" s="231"/>
      <c r="AH1" s="41"/>
      <c r="AI1" s="231" t="s">
        <v>12</v>
      </c>
      <c r="AJ1" s="231"/>
      <c r="AK1" s="41"/>
      <c r="AL1" s="232" t="s">
        <v>13</v>
      </c>
      <c r="AM1" s="232"/>
      <c r="AN1" s="42"/>
      <c r="AO1" s="231" t="s">
        <v>14</v>
      </c>
      <c r="AP1" s="231"/>
      <c r="AQ1" s="41"/>
      <c r="AR1" s="231" t="s">
        <v>15</v>
      </c>
      <c r="AS1" s="231"/>
      <c r="AT1" s="41"/>
      <c r="AU1" s="231" t="s">
        <v>16</v>
      </c>
      <c r="AV1" s="231"/>
      <c r="AW1" s="41"/>
      <c r="AX1" s="231" t="s">
        <v>17</v>
      </c>
      <c r="AY1" s="231"/>
      <c r="AZ1" s="41"/>
      <c r="BA1" s="231" t="s">
        <v>18</v>
      </c>
      <c r="BB1" s="231"/>
    </row>
    <row r="2" spans="1:55" ht="15.6" x14ac:dyDescent="0.3">
      <c r="A2" s="43"/>
      <c r="B2" s="41" t="s">
        <v>19</v>
      </c>
      <c r="C2" s="41" t="s">
        <v>20</v>
      </c>
      <c r="D2" s="41" t="s">
        <v>21</v>
      </c>
      <c r="E2" s="41" t="s">
        <v>19</v>
      </c>
      <c r="F2" s="41" t="s">
        <v>20</v>
      </c>
      <c r="G2" s="41" t="s">
        <v>21</v>
      </c>
      <c r="H2" s="41" t="s">
        <v>19</v>
      </c>
      <c r="I2" s="41" t="s">
        <v>20</v>
      </c>
      <c r="J2" s="41" t="s">
        <v>57</v>
      </c>
      <c r="K2" s="41" t="s">
        <v>19</v>
      </c>
      <c r="L2" s="41" t="s">
        <v>20</v>
      </c>
      <c r="M2" s="41" t="s">
        <v>21</v>
      </c>
      <c r="N2" s="41" t="s">
        <v>19</v>
      </c>
      <c r="O2" s="41" t="s">
        <v>20</v>
      </c>
      <c r="P2" s="41" t="s">
        <v>21</v>
      </c>
      <c r="Q2" s="41" t="s">
        <v>19</v>
      </c>
      <c r="R2" s="41" t="s">
        <v>20</v>
      </c>
      <c r="S2" s="41" t="s">
        <v>21</v>
      </c>
      <c r="T2" s="41" t="s">
        <v>19</v>
      </c>
      <c r="U2" s="41" t="s">
        <v>20</v>
      </c>
      <c r="V2" s="41" t="s">
        <v>21</v>
      </c>
      <c r="W2" s="41" t="s">
        <v>19</v>
      </c>
      <c r="X2" s="41" t="s">
        <v>20</v>
      </c>
      <c r="Y2" s="41" t="s">
        <v>21</v>
      </c>
      <c r="Z2" s="41" t="s">
        <v>19</v>
      </c>
      <c r="AA2" s="41" t="s">
        <v>20</v>
      </c>
      <c r="AB2" s="41" t="s">
        <v>21</v>
      </c>
      <c r="AC2" s="41" t="s">
        <v>19</v>
      </c>
      <c r="AD2" s="41" t="s">
        <v>20</v>
      </c>
      <c r="AE2" s="41" t="s">
        <v>21</v>
      </c>
      <c r="AF2" s="41" t="s">
        <v>19</v>
      </c>
      <c r="AG2" s="41" t="s">
        <v>20</v>
      </c>
      <c r="AH2" s="41" t="s">
        <v>21</v>
      </c>
      <c r="AI2" s="41" t="s">
        <v>19</v>
      </c>
      <c r="AJ2" s="41" t="s">
        <v>20</v>
      </c>
      <c r="AK2" s="41" t="s">
        <v>21</v>
      </c>
      <c r="AL2" s="41" t="s">
        <v>19</v>
      </c>
      <c r="AM2" s="41" t="s">
        <v>20</v>
      </c>
      <c r="AN2" s="41" t="s">
        <v>21</v>
      </c>
      <c r="AO2" s="41" t="s">
        <v>19</v>
      </c>
      <c r="AP2" s="41" t="s">
        <v>20</v>
      </c>
      <c r="AQ2" s="41" t="s">
        <v>21</v>
      </c>
      <c r="AR2" s="41" t="s">
        <v>19</v>
      </c>
      <c r="AS2" s="41" t="s">
        <v>20</v>
      </c>
      <c r="AT2" s="41" t="s">
        <v>21</v>
      </c>
      <c r="AU2" s="41" t="s">
        <v>19</v>
      </c>
      <c r="AV2" s="41" t="s">
        <v>20</v>
      </c>
      <c r="AW2" s="41" t="s">
        <v>21</v>
      </c>
      <c r="AX2" s="41" t="s">
        <v>19</v>
      </c>
      <c r="AY2" s="41" t="s">
        <v>20</v>
      </c>
      <c r="AZ2" s="41" t="s">
        <v>21</v>
      </c>
      <c r="BA2" s="41" t="s">
        <v>19</v>
      </c>
      <c r="BB2" s="41" t="s">
        <v>20</v>
      </c>
      <c r="BC2" s="41" t="s">
        <v>21</v>
      </c>
    </row>
    <row r="3" spans="1:55" ht="15.6" x14ac:dyDescent="0.3">
      <c r="A3" s="44" t="s">
        <v>22</v>
      </c>
      <c r="B3" s="45">
        <v>0.6</v>
      </c>
      <c r="C3" s="45">
        <v>0.13</v>
      </c>
      <c r="D3" s="45">
        <f>C3/B3</f>
        <v>0.21666666666666667</v>
      </c>
      <c r="E3" s="45">
        <v>0.215</v>
      </c>
      <c r="F3" s="45">
        <v>1.91</v>
      </c>
      <c r="G3" s="45">
        <f>F3/E3</f>
        <v>8.8837209302325579</v>
      </c>
      <c r="H3" s="45">
        <v>0.4</v>
      </c>
      <c r="I3" s="45">
        <v>0.61</v>
      </c>
      <c r="J3" s="45">
        <f>I3/H3</f>
        <v>1.5249999999999999</v>
      </c>
      <c r="K3" s="45">
        <v>0.08</v>
      </c>
      <c r="L3" s="45">
        <v>0.47</v>
      </c>
      <c r="M3" s="45">
        <f>L3/K3</f>
        <v>5.8749999999999991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>
        <v>0.15</v>
      </c>
      <c r="AM3" s="45">
        <v>0.04</v>
      </c>
      <c r="AN3" s="45">
        <f>AM3/AL3</f>
        <v>0.26666666666666666</v>
      </c>
      <c r="AO3" s="45">
        <v>7.0000000000000007E-2</v>
      </c>
      <c r="AP3" s="45">
        <v>0.05</v>
      </c>
      <c r="AQ3" s="45">
        <f>AP3/AO3</f>
        <v>0.7142857142857143</v>
      </c>
      <c r="AR3" s="45">
        <v>0.16</v>
      </c>
      <c r="AS3" s="45">
        <v>0.01</v>
      </c>
      <c r="AT3" s="45">
        <f>AS3/AR3</f>
        <v>6.25E-2</v>
      </c>
      <c r="AU3" s="45"/>
      <c r="AV3" s="45"/>
      <c r="AW3" s="45"/>
      <c r="AX3" s="45"/>
      <c r="AY3" s="45"/>
      <c r="AZ3" s="45"/>
      <c r="BA3" s="46">
        <f t="shared" ref="BA3:BB33" si="0">B3+E3+H3+K3+N3+Q3+T3+W3+Z3+AC3+AF3+AI3+AL3+AO3+AR3+AU3+AX3</f>
        <v>1.6749999999999998</v>
      </c>
      <c r="BB3" s="46">
        <f t="shared" si="0"/>
        <v>3.2199999999999998</v>
      </c>
      <c r="BC3" s="9">
        <f>BB3/BA3</f>
        <v>1.9223880597014926</v>
      </c>
    </row>
    <row r="4" spans="1:55" ht="15.6" x14ac:dyDescent="0.3">
      <c r="A4" s="44" t="s">
        <v>23</v>
      </c>
      <c r="B4" s="45"/>
      <c r="C4" s="45"/>
      <c r="D4" s="45"/>
      <c r="E4" s="45">
        <v>0.42699999999999999</v>
      </c>
      <c r="F4" s="45">
        <v>1.22</v>
      </c>
      <c r="G4" s="45">
        <f t="shared" ref="G4:G33" si="1">F4/E4</f>
        <v>2.8571428571428572</v>
      </c>
      <c r="H4" s="45">
        <v>134.96</v>
      </c>
      <c r="I4" s="45">
        <v>739.62</v>
      </c>
      <c r="J4" s="45">
        <f t="shared" ref="J4:J34" si="2">I4/H4</f>
        <v>5.4802904564315353</v>
      </c>
      <c r="K4" s="47">
        <v>16.53</v>
      </c>
      <c r="L4" s="47">
        <v>143.22999999999999</v>
      </c>
      <c r="M4" s="45">
        <f t="shared" ref="M4:M34" si="3">L4/K4</f>
        <v>8.6648517846339974</v>
      </c>
      <c r="N4" s="45"/>
      <c r="O4" s="45"/>
      <c r="P4" s="45"/>
      <c r="Q4" s="45"/>
      <c r="R4" s="45"/>
      <c r="S4" s="45"/>
      <c r="T4" s="45">
        <v>40.18</v>
      </c>
      <c r="U4" s="45">
        <v>20.78</v>
      </c>
      <c r="V4" s="45">
        <f>U4/T4</f>
        <v>0.5171727227476357</v>
      </c>
      <c r="W4" s="45"/>
      <c r="X4" s="45"/>
      <c r="Y4" s="45"/>
      <c r="Z4" s="45"/>
      <c r="AA4" s="45"/>
      <c r="AB4" s="45"/>
      <c r="AC4" s="45"/>
      <c r="AD4" s="45"/>
      <c r="AE4" s="45"/>
      <c r="AF4" s="45">
        <v>3.98</v>
      </c>
      <c r="AG4" s="45">
        <v>1.7</v>
      </c>
      <c r="AH4" s="45">
        <f>AG4/AF4</f>
        <v>0.42713567839195982</v>
      </c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>
        <v>4.58</v>
      </c>
      <c r="AV4" s="45">
        <v>11.45</v>
      </c>
      <c r="AW4" s="45">
        <f>AV4/AU4</f>
        <v>2.5</v>
      </c>
      <c r="AX4" s="45">
        <v>0.01</v>
      </c>
      <c r="AY4" s="45">
        <v>0.01</v>
      </c>
      <c r="AZ4" s="45">
        <f>AY4/AX4</f>
        <v>1</v>
      </c>
      <c r="BA4" s="46">
        <f t="shared" si="0"/>
        <v>200.667</v>
      </c>
      <c r="BB4" s="46">
        <f t="shared" si="0"/>
        <v>918.0100000000001</v>
      </c>
      <c r="BC4" s="9">
        <f t="shared" ref="BC4:BC34" si="4">BB4/BA4</f>
        <v>4.5747930651277997</v>
      </c>
    </row>
    <row r="5" spans="1:55" ht="15.6" x14ac:dyDescent="0.3">
      <c r="A5" s="48" t="s">
        <v>24</v>
      </c>
      <c r="B5" s="45"/>
      <c r="C5" s="45"/>
      <c r="D5" s="45"/>
      <c r="E5" s="45">
        <v>7</v>
      </c>
      <c r="F5" s="45">
        <v>57</v>
      </c>
      <c r="G5" s="45">
        <f t="shared" si="1"/>
        <v>8.1428571428571423</v>
      </c>
      <c r="H5" s="45">
        <v>2.5</v>
      </c>
      <c r="I5" s="45">
        <v>4.4000000000000004</v>
      </c>
      <c r="J5" s="45">
        <f t="shared" si="2"/>
        <v>1.7600000000000002</v>
      </c>
      <c r="K5" s="45">
        <v>0.64</v>
      </c>
      <c r="L5" s="45">
        <v>2.86</v>
      </c>
      <c r="M5" s="45">
        <f t="shared" si="3"/>
        <v>4.46875</v>
      </c>
      <c r="N5" s="45">
        <v>0.03</v>
      </c>
      <c r="O5" s="45">
        <v>0.01</v>
      </c>
      <c r="P5" s="45">
        <f>O5/N5</f>
        <v>0.33333333333333337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6">
        <f t="shared" si="0"/>
        <v>10.17</v>
      </c>
      <c r="BB5" s="46">
        <f t="shared" si="0"/>
        <v>64.27000000000001</v>
      </c>
      <c r="BC5" s="9">
        <f t="shared" si="4"/>
        <v>6.319567354965586</v>
      </c>
    </row>
    <row r="6" spans="1:55" ht="15.6" x14ac:dyDescent="0.3">
      <c r="A6" s="44" t="s">
        <v>25</v>
      </c>
      <c r="B6" s="45">
        <v>3.79</v>
      </c>
      <c r="C6" s="45">
        <v>2.23</v>
      </c>
      <c r="D6" s="45">
        <f t="shared" ref="D6:D34" si="5">C6/B6</f>
        <v>0.58839050131926118</v>
      </c>
      <c r="E6" s="45">
        <v>18.196999999999999</v>
      </c>
      <c r="F6" s="45">
        <v>159.94999999999999</v>
      </c>
      <c r="G6" s="45">
        <f t="shared" si="1"/>
        <v>8.7899104247952948</v>
      </c>
      <c r="H6" s="45">
        <v>21.01</v>
      </c>
      <c r="I6" s="45">
        <v>18.38</v>
      </c>
      <c r="J6" s="45">
        <f t="shared" si="2"/>
        <v>0.87482151356496896</v>
      </c>
      <c r="K6" s="45">
        <v>16.57</v>
      </c>
      <c r="L6" s="45">
        <v>16.34</v>
      </c>
      <c r="M6" s="45">
        <f t="shared" si="3"/>
        <v>0.98611949305974655</v>
      </c>
      <c r="N6" s="45">
        <v>10.18</v>
      </c>
      <c r="O6" s="45">
        <v>70.17</v>
      </c>
      <c r="P6" s="45">
        <f t="shared" ref="P6:P34" si="6">O6/N6</f>
        <v>6.8929273084479377</v>
      </c>
      <c r="Q6" s="45"/>
      <c r="R6" s="45"/>
      <c r="S6" s="45"/>
      <c r="T6" s="45">
        <v>28.85</v>
      </c>
      <c r="U6" s="45">
        <v>53.96</v>
      </c>
      <c r="V6" s="45">
        <f t="shared" ref="V6:V34" si="7">U6/T6</f>
        <v>1.8703639514731369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6">
        <f t="shared" si="0"/>
        <v>98.597000000000008</v>
      </c>
      <c r="BB6" s="46">
        <f t="shared" si="0"/>
        <v>321.02999999999997</v>
      </c>
      <c r="BC6" s="9">
        <f t="shared" si="4"/>
        <v>3.2559814193129601</v>
      </c>
    </row>
    <row r="7" spans="1:55" ht="15.6" x14ac:dyDescent="0.3">
      <c r="A7" s="44" t="s">
        <v>26</v>
      </c>
      <c r="B7" s="45"/>
      <c r="C7" s="45"/>
      <c r="D7" s="45"/>
      <c r="E7" s="45">
        <v>0.56000000000000005</v>
      </c>
      <c r="F7" s="45">
        <v>0.84</v>
      </c>
      <c r="G7" s="45">
        <f t="shared" si="1"/>
        <v>1.4999999999999998</v>
      </c>
      <c r="H7" s="45">
        <v>2.9</v>
      </c>
      <c r="I7" s="45">
        <v>3</v>
      </c>
      <c r="J7" s="45">
        <f t="shared" si="2"/>
        <v>1.0344827586206897</v>
      </c>
      <c r="K7" s="45">
        <v>3</v>
      </c>
      <c r="L7" s="45">
        <v>3</v>
      </c>
      <c r="M7" s="45">
        <f t="shared" si="3"/>
        <v>1</v>
      </c>
      <c r="N7" s="45">
        <v>4.25</v>
      </c>
      <c r="O7" s="45">
        <v>4</v>
      </c>
      <c r="P7" s="45">
        <f t="shared" si="6"/>
        <v>0.94117647058823528</v>
      </c>
      <c r="Q7" s="45"/>
      <c r="R7" s="45"/>
      <c r="S7" s="45"/>
      <c r="T7" s="45">
        <v>2.2999999999999998</v>
      </c>
      <c r="U7" s="45">
        <v>1.7</v>
      </c>
      <c r="V7" s="45">
        <f t="shared" si="7"/>
        <v>0.73913043478260876</v>
      </c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7"/>
      <c r="AL7" s="47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6">
        <f t="shared" si="0"/>
        <v>13.010000000000002</v>
      </c>
      <c r="BB7" s="46">
        <f t="shared" si="0"/>
        <v>12.54</v>
      </c>
      <c r="BC7" s="9">
        <f t="shared" si="4"/>
        <v>0.9638739431206762</v>
      </c>
    </row>
    <row r="8" spans="1:55" ht="15.6" x14ac:dyDescent="0.3">
      <c r="A8" s="44" t="s">
        <v>53</v>
      </c>
      <c r="B8" s="45"/>
      <c r="C8" s="45"/>
      <c r="D8" s="45"/>
      <c r="E8" s="45">
        <v>1.7390000000000001</v>
      </c>
      <c r="F8" s="45">
        <v>2.14</v>
      </c>
      <c r="G8" s="45">
        <f t="shared" si="1"/>
        <v>1.2305922944220817</v>
      </c>
      <c r="H8" s="45">
        <v>4.92</v>
      </c>
      <c r="I8" s="45">
        <v>4.4000000000000004</v>
      </c>
      <c r="J8" s="45">
        <f t="shared" si="2"/>
        <v>0.89430894308943099</v>
      </c>
      <c r="K8" s="45">
        <v>1.1000000000000001</v>
      </c>
      <c r="L8" s="45">
        <v>0.96</v>
      </c>
      <c r="M8" s="45">
        <f t="shared" si="3"/>
        <v>0.87272727272727257</v>
      </c>
      <c r="N8" s="45">
        <v>1.28</v>
      </c>
      <c r="O8" s="45">
        <v>3.4</v>
      </c>
      <c r="P8" s="45">
        <f t="shared" si="6"/>
        <v>2.65625</v>
      </c>
      <c r="Q8" s="45"/>
      <c r="R8" s="45"/>
      <c r="S8" s="45"/>
      <c r="T8" s="45">
        <v>2.65</v>
      </c>
      <c r="U8" s="45">
        <v>0.75</v>
      </c>
      <c r="V8" s="45">
        <f t="shared" si="7"/>
        <v>0.28301886792452829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6">
        <f t="shared" si="0"/>
        <v>11.689</v>
      </c>
      <c r="BB8" s="46">
        <f t="shared" si="0"/>
        <v>11.65</v>
      </c>
      <c r="BC8" s="9">
        <f t="shared" si="4"/>
        <v>0.99666352981435535</v>
      </c>
    </row>
    <row r="9" spans="1:55" ht="15.6" x14ac:dyDescent="0.3">
      <c r="A9" s="44" t="s">
        <v>28</v>
      </c>
      <c r="B9" s="45">
        <v>0.76</v>
      </c>
      <c r="C9" s="45">
        <v>0.24</v>
      </c>
      <c r="D9" s="45">
        <f t="shared" si="5"/>
        <v>0.31578947368421051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>
        <v>0.18</v>
      </c>
      <c r="AP9" s="45">
        <v>0.01</v>
      </c>
      <c r="AQ9" s="45">
        <f t="shared" ref="AQ9:AQ34" si="8">AP9/AO9</f>
        <v>5.5555555555555559E-2</v>
      </c>
      <c r="AR9" s="45"/>
      <c r="AS9" s="45"/>
      <c r="AT9" s="45"/>
      <c r="AU9" s="45"/>
      <c r="AV9" s="45"/>
      <c r="AW9" s="45"/>
      <c r="AX9" s="45"/>
      <c r="AY9" s="45"/>
      <c r="AZ9" s="45"/>
      <c r="BA9" s="46">
        <f t="shared" si="0"/>
        <v>0.94</v>
      </c>
      <c r="BB9" s="46">
        <f t="shared" si="0"/>
        <v>0.25</v>
      </c>
      <c r="BC9" s="9">
        <f t="shared" si="4"/>
        <v>0.26595744680851063</v>
      </c>
    </row>
    <row r="10" spans="1:55" ht="15.6" x14ac:dyDescent="0.3">
      <c r="A10" s="44" t="s">
        <v>29</v>
      </c>
      <c r="B10" s="45"/>
      <c r="C10" s="45"/>
      <c r="D10" s="45"/>
      <c r="E10" s="45">
        <v>5.8680000000000003</v>
      </c>
      <c r="F10" s="45">
        <v>118.23</v>
      </c>
      <c r="G10" s="45">
        <f t="shared" si="1"/>
        <v>20.148261758691206</v>
      </c>
      <c r="H10" s="45">
        <v>19.05</v>
      </c>
      <c r="I10" s="45">
        <v>33.299999999999997</v>
      </c>
      <c r="J10" s="45">
        <f t="shared" si="2"/>
        <v>1.7480314960629919</v>
      </c>
      <c r="K10" s="45">
        <v>3.15</v>
      </c>
      <c r="L10" s="45">
        <v>52.06</v>
      </c>
      <c r="M10" s="45">
        <f t="shared" si="3"/>
        <v>16.526984126984129</v>
      </c>
      <c r="N10" s="45">
        <v>40.6</v>
      </c>
      <c r="O10" s="45">
        <v>318.2</v>
      </c>
      <c r="P10" s="45">
        <f t="shared" si="6"/>
        <v>7.8374384236453194</v>
      </c>
      <c r="Q10" s="45"/>
      <c r="R10" s="45"/>
      <c r="S10" s="45"/>
      <c r="T10" s="45">
        <v>44.06</v>
      </c>
      <c r="U10" s="45">
        <v>64.38</v>
      </c>
      <c r="V10" s="45">
        <f t="shared" si="7"/>
        <v>1.4611892873354515</v>
      </c>
      <c r="W10" s="45">
        <v>454.9</v>
      </c>
      <c r="X10" s="45">
        <v>364.65</v>
      </c>
      <c r="Y10" s="45">
        <f>X10/W10</f>
        <v>0.80160474829632888</v>
      </c>
      <c r="Z10" s="45">
        <v>22.1</v>
      </c>
      <c r="AA10" s="45">
        <v>45.02</v>
      </c>
      <c r="AB10" s="45">
        <f>AA10/Z10</f>
        <v>2.0371040723981899</v>
      </c>
      <c r="AC10" s="45">
        <v>5.3</v>
      </c>
      <c r="AD10" s="45">
        <v>10.09</v>
      </c>
      <c r="AE10" s="45">
        <f>AD10/AC10</f>
        <v>1.9037735849056605</v>
      </c>
      <c r="AF10" s="45">
        <v>6.43</v>
      </c>
      <c r="AG10" s="45">
        <v>5.0199999999999996</v>
      </c>
      <c r="AH10" s="45">
        <f>AG10/AF10</f>
        <v>0.78071539657853806</v>
      </c>
      <c r="AI10" s="45">
        <v>7.4</v>
      </c>
      <c r="AJ10" s="45">
        <v>9.01</v>
      </c>
      <c r="AK10" s="45">
        <f>AJ10/AI10</f>
        <v>1.2175675675675675</v>
      </c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6">
        <f t="shared" si="0"/>
        <v>608.85799999999983</v>
      </c>
      <c r="BB10" s="46">
        <f t="shared" si="0"/>
        <v>1019.9599999999999</v>
      </c>
      <c r="BC10" s="9">
        <f t="shared" si="4"/>
        <v>1.6752017711847429</v>
      </c>
    </row>
    <row r="11" spans="1:55" ht="15.6" x14ac:dyDescent="0.3">
      <c r="A11" s="44" t="s">
        <v>30</v>
      </c>
      <c r="B11" s="45"/>
      <c r="C11" s="45"/>
      <c r="D11" s="45"/>
      <c r="E11" s="45">
        <v>0.44500000000000001</v>
      </c>
      <c r="F11" s="45">
        <v>5.65</v>
      </c>
      <c r="G11" s="45">
        <f t="shared" si="1"/>
        <v>12.696629213483147</v>
      </c>
      <c r="H11" s="45">
        <v>2.4300000000000002</v>
      </c>
      <c r="I11" s="45">
        <v>4.22</v>
      </c>
      <c r="J11" s="45">
        <f t="shared" si="2"/>
        <v>1.736625514403292</v>
      </c>
      <c r="K11" s="45">
        <v>1.33</v>
      </c>
      <c r="L11" s="45">
        <v>23.84</v>
      </c>
      <c r="M11" s="45">
        <f t="shared" si="3"/>
        <v>17.924812030075188</v>
      </c>
      <c r="N11" s="45">
        <v>4.4400000000000004</v>
      </c>
      <c r="O11" s="45">
        <v>35.83</v>
      </c>
      <c r="P11" s="45">
        <f t="shared" si="6"/>
        <v>8.0698198198198181</v>
      </c>
      <c r="Q11" s="45"/>
      <c r="R11" s="45"/>
      <c r="S11" s="45"/>
      <c r="T11" s="45">
        <v>2.4300000000000002</v>
      </c>
      <c r="U11" s="45">
        <v>4.41</v>
      </c>
      <c r="V11" s="45">
        <f t="shared" si="7"/>
        <v>1.8148148148148147</v>
      </c>
      <c r="W11" s="45"/>
      <c r="X11" s="45"/>
      <c r="Y11" s="45"/>
      <c r="Z11" s="45">
        <v>0.27</v>
      </c>
      <c r="AA11" s="45">
        <v>0.17</v>
      </c>
      <c r="AB11" s="45">
        <f t="shared" ref="AB11:AB34" si="9">AA11/Z11</f>
        <v>0.62962962962962965</v>
      </c>
      <c r="AC11" s="45">
        <v>4.78</v>
      </c>
      <c r="AD11" s="45">
        <v>8.6999999999999993</v>
      </c>
      <c r="AE11" s="45">
        <f t="shared" ref="AE11:AE34" si="10">AD11/AC11</f>
        <v>1.8200836820083679</v>
      </c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6">
        <f t="shared" si="0"/>
        <v>16.125</v>
      </c>
      <c r="BB11" s="46">
        <f t="shared" si="0"/>
        <v>82.82</v>
      </c>
      <c r="BC11" s="9">
        <f t="shared" si="4"/>
        <v>5.1361240310077516</v>
      </c>
    </row>
    <row r="12" spans="1:55" ht="15.6" x14ac:dyDescent="0.3">
      <c r="A12" s="44" t="s">
        <v>31</v>
      </c>
      <c r="B12" s="45"/>
      <c r="C12" s="45"/>
      <c r="D12" s="45"/>
      <c r="E12" s="45">
        <v>2.3010000000000002</v>
      </c>
      <c r="F12" s="45">
        <v>15.78</v>
      </c>
      <c r="G12" s="45">
        <f t="shared" si="1"/>
        <v>6.8578878748370267</v>
      </c>
      <c r="H12" s="45">
        <v>0.44</v>
      </c>
      <c r="I12" s="45">
        <v>0.15</v>
      </c>
      <c r="J12" s="45">
        <f t="shared" si="2"/>
        <v>0.34090909090909088</v>
      </c>
      <c r="K12" s="45">
        <v>0.28000000000000003</v>
      </c>
      <c r="L12" s="45">
        <v>0.15</v>
      </c>
      <c r="M12" s="45">
        <f t="shared" si="3"/>
        <v>0.5357142857142857</v>
      </c>
      <c r="N12" s="45">
        <v>4.1500000000000004</v>
      </c>
      <c r="O12" s="45">
        <v>6.14</v>
      </c>
      <c r="P12" s="45">
        <f t="shared" si="6"/>
        <v>1.4795180722891563</v>
      </c>
      <c r="Q12" s="45"/>
      <c r="R12" s="45"/>
      <c r="S12" s="45"/>
      <c r="T12" s="45">
        <v>0.14000000000000001</v>
      </c>
      <c r="U12" s="45">
        <v>0.05</v>
      </c>
      <c r="V12" s="45">
        <f t="shared" si="7"/>
        <v>0.35714285714285715</v>
      </c>
      <c r="W12" s="45">
        <v>0.08</v>
      </c>
      <c r="X12" s="45">
        <v>0.02</v>
      </c>
      <c r="Y12" s="45">
        <f t="shared" ref="Y12:Y34" si="11">X12/W12</f>
        <v>0.25</v>
      </c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6">
        <f t="shared" si="0"/>
        <v>7.391</v>
      </c>
      <c r="BB12" s="46">
        <f t="shared" si="0"/>
        <v>22.29</v>
      </c>
      <c r="BC12" s="9">
        <f t="shared" si="4"/>
        <v>3.0158300635908537</v>
      </c>
    </row>
    <row r="13" spans="1:55" ht="15.6" x14ac:dyDescent="0.3">
      <c r="A13" s="44" t="s">
        <v>32</v>
      </c>
      <c r="B13" s="45"/>
      <c r="C13" s="45"/>
      <c r="D13" s="45"/>
      <c r="E13" s="45">
        <v>3.4000000000000002E-2</v>
      </c>
      <c r="F13" s="45">
        <v>0.04</v>
      </c>
      <c r="G13" s="45">
        <f t="shared" si="1"/>
        <v>1.1764705882352942</v>
      </c>
      <c r="H13" s="45">
        <v>0.56000000000000005</v>
      </c>
      <c r="I13" s="45">
        <v>0.54</v>
      </c>
      <c r="J13" s="45">
        <f t="shared" si="2"/>
        <v>0.9642857142857143</v>
      </c>
      <c r="K13" s="45">
        <v>0.02</v>
      </c>
      <c r="L13" s="45">
        <v>0.02</v>
      </c>
      <c r="M13" s="45">
        <f t="shared" si="3"/>
        <v>1</v>
      </c>
      <c r="N13" s="45">
        <v>0.54</v>
      </c>
      <c r="O13" s="45">
        <v>0.46</v>
      </c>
      <c r="P13" s="45">
        <f t="shared" si="6"/>
        <v>0.85185185185185186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>
        <v>3.79</v>
      </c>
      <c r="AY13" s="45">
        <v>0.01</v>
      </c>
      <c r="AZ13" s="45">
        <f t="shared" ref="AZ13:AZ34" si="12">AY13/AX13</f>
        <v>2.6385224274406332E-3</v>
      </c>
      <c r="BA13" s="46">
        <f t="shared" si="0"/>
        <v>4.944</v>
      </c>
      <c r="BB13" s="46">
        <f t="shared" si="0"/>
        <v>1.07</v>
      </c>
      <c r="BC13" s="9">
        <f t="shared" si="4"/>
        <v>0.21642394822006475</v>
      </c>
    </row>
    <row r="14" spans="1:55" ht="15.6" x14ac:dyDescent="0.3">
      <c r="A14" s="44" t="s">
        <v>33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6">
        <f t="shared" si="0"/>
        <v>0</v>
      </c>
      <c r="BB14" s="46">
        <f t="shared" si="0"/>
        <v>0</v>
      </c>
      <c r="BC14" s="49">
        <v>0</v>
      </c>
    </row>
    <row r="15" spans="1:55" ht="15.6" x14ac:dyDescent="0.3">
      <c r="A15" s="44" t="s">
        <v>34</v>
      </c>
      <c r="B15" s="45">
        <v>32.67</v>
      </c>
      <c r="C15" s="45">
        <v>19.68</v>
      </c>
      <c r="D15" s="45">
        <f t="shared" si="5"/>
        <v>0.60238751147842051</v>
      </c>
      <c r="E15" s="45">
        <v>18.957000000000001</v>
      </c>
      <c r="F15" s="45">
        <v>52.41</v>
      </c>
      <c r="G15" s="45">
        <f t="shared" si="1"/>
        <v>2.7646779553726852</v>
      </c>
      <c r="H15" s="45">
        <v>88.97</v>
      </c>
      <c r="I15" s="45">
        <v>114.15</v>
      </c>
      <c r="J15" s="45">
        <f t="shared" si="2"/>
        <v>1.2830167472181635</v>
      </c>
      <c r="K15" s="45">
        <v>13.36</v>
      </c>
      <c r="L15" s="45">
        <v>63.62</v>
      </c>
      <c r="M15" s="45">
        <f t="shared" si="3"/>
        <v>4.7619760479041915</v>
      </c>
      <c r="N15" s="45">
        <v>5.19</v>
      </c>
      <c r="O15" s="45">
        <v>5.47</v>
      </c>
      <c r="P15" s="45">
        <f t="shared" si="6"/>
        <v>1.0539499036608861</v>
      </c>
      <c r="Q15" s="45">
        <v>25.08</v>
      </c>
      <c r="R15" s="45">
        <v>1.05</v>
      </c>
      <c r="S15" s="45">
        <f>R15/Q15</f>
        <v>4.1866028708133975E-2</v>
      </c>
      <c r="T15" s="45">
        <v>2.65</v>
      </c>
      <c r="U15" s="45">
        <v>0.82</v>
      </c>
      <c r="V15" s="45">
        <f t="shared" si="7"/>
        <v>0.30943396226415093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>
        <v>0.04</v>
      </c>
      <c r="AM15" s="45">
        <v>0.01</v>
      </c>
      <c r="AN15" s="45">
        <f t="shared" ref="AN15:AN34" si="13">AM15/AL15</f>
        <v>0.25</v>
      </c>
      <c r="AO15" s="45">
        <v>0.15</v>
      </c>
      <c r="AP15" s="45">
        <v>0.15</v>
      </c>
      <c r="AQ15" s="45">
        <f t="shared" si="8"/>
        <v>1</v>
      </c>
      <c r="AR15" s="45">
        <v>0.12</v>
      </c>
      <c r="AS15" s="45">
        <v>0.17</v>
      </c>
      <c r="AT15" s="45">
        <f>AS15/AR15</f>
        <v>1.4166666666666667</v>
      </c>
      <c r="AU15" s="45">
        <v>16.8</v>
      </c>
      <c r="AV15" s="45">
        <v>87</v>
      </c>
      <c r="AW15" s="45">
        <f>AV15/AU15</f>
        <v>5.1785714285714279</v>
      </c>
      <c r="AX15" s="45">
        <v>2.52</v>
      </c>
      <c r="AY15" s="45">
        <v>0.99</v>
      </c>
      <c r="AZ15" s="45">
        <f t="shared" si="12"/>
        <v>0.39285714285714285</v>
      </c>
      <c r="BA15" s="46">
        <f t="shared" si="0"/>
        <v>206.50700000000001</v>
      </c>
      <c r="BB15" s="46">
        <f t="shared" si="0"/>
        <v>345.52</v>
      </c>
      <c r="BC15" s="9">
        <f t="shared" si="4"/>
        <v>1.6731636215721499</v>
      </c>
    </row>
    <row r="16" spans="1:55" ht="15.6" x14ac:dyDescent="0.3">
      <c r="A16" s="44" t="s">
        <v>35</v>
      </c>
      <c r="B16" s="45">
        <v>85.43</v>
      </c>
      <c r="C16" s="45">
        <v>40.69</v>
      </c>
      <c r="D16" s="45">
        <f t="shared" si="5"/>
        <v>0.47629638300362864</v>
      </c>
      <c r="E16" s="45">
        <v>4.8</v>
      </c>
      <c r="F16" s="45">
        <v>22.99</v>
      </c>
      <c r="G16" s="45">
        <f t="shared" si="1"/>
        <v>4.7895833333333329</v>
      </c>
      <c r="H16" s="45">
        <v>1.58</v>
      </c>
      <c r="I16" s="45">
        <v>1.49</v>
      </c>
      <c r="J16" s="45">
        <f t="shared" si="2"/>
        <v>0.94303797468354422</v>
      </c>
      <c r="K16" s="45">
        <v>2.4700000000000002</v>
      </c>
      <c r="L16" s="45">
        <v>6.82</v>
      </c>
      <c r="M16" s="45">
        <f t="shared" si="3"/>
        <v>2.7611336032388665</v>
      </c>
      <c r="N16" s="45">
        <v>0.08</v>
      </c>
      <c r="O16" s="45">
        <v>0.63</v>
      </c>
      <c r="P16" s="45">
        <f t="shared" si="6"/>
        <v>7.875</v>
      </c>
      <c r="Q16" s="45">
        <v>39.729999999999997</v>
      </c>
      <c r="R16" s="45">
        <v>16</v>
      </c>
      <c r="S16" s="45">
        <f t="shared" ref="S16:S34" si="14">R16/Q16</f>
        <v>0.4027183488547697</v>
      </c>
      <c r="T16" s="47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>
        <v>0.11</v>
      </c>
      <c r="AM16" s="45">
        <v>0</v>
      </c>
      <c r="AN16" s="45">
        <f t="shared" si="13"/>
        <v>0</v>
      </c>
      <c r="AO16" s="45">
        <v>20.63</v>
      </c>
      <c r="AP16" s="45">
        <v>14.19</v>
      </c>
      <c r="AQ16" s="45">
        <f t="shared" si="8"/>
        <v>0.68783325254483763</v>
      </c>
      <c r="AR16" s="45">
        <v>1.07</v>
      </c>
      <c r="AS16" s="45">
        <v>0.08</v>
      </c>
      <c r="AT16" s="45">
        <f>AS16/AR16</f>
        <v>7.476635514018691E-2</v>
      </c>
      <c r="AU16" s="45">
        <v>11.24</v>
      </c>
      <c r="AV16" s="45">
        <v>37.299999999999997</v>
      </c>
      <c r="AW16" s="45">
        <f t="shared" ref="AW16:AW34" si="15">AV16/AU16</f>
        <v>3.3185053380782916</v>
      </c>
      <c r="AX16" s="45">
        <v>0.15</v>
      </c>
      <c r="AY16" s="45">
        <v>0.04</v>
      </c>
      <c r="AZ16" s="45">
        <f t="shared" si="12"/>
        <v>0.26666666666666666</v>
      </c>
      <c r="BA16" s="46">
        <f t="shared" si="0"/>
        <v>167.29000000000002</v>
      </c>
      <c r="BB16" s="46">
        <f t="shared" si="0"/>
        <v>140.22999999999996</v>
      </c>
      <c r="BC16" s="9">
        <f t="shared" si="4"/>
        <v>0.83824496383525582</v>
      </c>
    </row>
    <row r="17" spans="1:55" ht="15.6" x14ac:dyDescent="0.3">
      <c r="A17" s="44" t="s">
        <v>36</v>
      </c>
      <c r="B17" s="45"/>
      <c r="C17" s="45"/>
      <c r="D17" s="45"/>
      <c r="E17" s="45">
        <v>10.685</v>
      </c>
      <c r="F17" s="45">
        <v>20.69</v>
      </c>
      <c r="G17" s="45">
        <f t="shared" si="1"/>
        <v>1.9363593823116518</v>
      </c>
      <c r="H17" s="45">
        <v>72.13</v>
      </c>
      <c r="I17" s="45">
        <v>132.44</v>
      </c>
      <c r="J17" s="45">
        <f t="shared" si="2"/>
        <v>1.836129211146541</v>
      </c>
      <c r="K17" s="45">
        <v>1.39</v>
      </c>
      <c r="L17" s="45">
        <v>1.58</v>
      </c>
      <c r="M17" s="45">
        <f t="shared" si="3"/>
        <v>1.1366906474820144</v>
      </c>
      <c r="N17" s="45">
        <v>81.17</v>
      </c>
      <c r="O17" s="45">
        <v>424.5</v>
      </c>
      <c r="P17" s="45">
        <f t="shared" si="6"/>
        <v>5.2297646913884437</v>
      </c>
      <c r="Q17" s="45"/>
      <c r="R17" s="45"/>
      <c r="S17" s="45"/>
      <c r="T17" s="45">
        <v>144.02000000000001</v>
      </c>
      <c r="U17" s="45">
        <v>94.91</v>
      </c>
      <c r="V17" s="45">
        <f t="shared" si="7"/>
        <v>0.65900569365365913</v>
      </c>
      <c r="W17" s="45"/>
      <c r="X17" s="45"/>
      <c r="Y17" s="45"/>
      <c r="Z17" s="45"/>
      <c r="AA17" s="45"/>
      <c r="AB17" s="45"/>
      <c r="AC17" s="45">
        <v>30.81</v>
      </c>
      <c r="AD17" s="45">
        <v>25</v>
      </c>
      <c r="AE17" s="45">
        <f t="shared" si="10"/>
        <v>0.81142486205777353</v>
      </c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6">
        <f t="shared" si="0"/>
        <v>340.20499999999998</v>
      </c>
      <c r="BB17" s="46">
        <f t="shared" si="0"/>
        <v>699.12</v>
      </c>
      <c r="BC17" s="9">
        <f t="shared" si="4"/>
        <v>2.054996252259667</v>
      </c>
    </row>
    <row r="18" spans="1:55" ht="15.6" x14ac:dyDescent="0.3">
      <c r="A18" s="44" t="s">
        <v>37</v>
      </c>
      <c r="B18" s="45"/>
      <c r="C18" s="45"/>
      <c r="D18" s="45"/>
      <c r="E18" s="50">
        <v>1.06</v>
      </c>
      <c r="F18" s="45">
        <v>1.04</v>
      </c>
      <c r="G18" s="45">
        <f t="shared" si="1"/>
        <v>0.98113207547169812</v>
      </c>
      <c r="H18" s="45">
        <v>99.5</v>
      </c>
      <c r="I18" s="45">
        <v>45.6</v>
      </c>
      <c r="J18" s="45">
        <f t="shared" si="2"/>
        <v>0.45829145728643217</v>
      </c>
      <c r="K18" s="45">
        <v>13.48</v>
      </c>
      <c r="L18" s="45">
        <v>32.049999999999997</v>
      </c>
      <c r="M18" s="45">
        <f t="shared" si="3"/>
        <v>2.3775964391691393</v>
      </c>
      <c r="N18" s="45">
        <v>3.5</v>
      </c>
      <c r="O18" s="45">
        <v>40</v>
      </c>
      <c r="P18" s="45">
        <f t="shared" si="6"/>
        <v>11.428571428571429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>
        <v>5.7</v>
      </c>
      <c r="AV18" s="45">
        <v>11.4</v>
      </c>
      <c r="AW18" s="45">
        <f t="shared" si="15"/>
        <v>2</v>
      </c>
      <c r="AX18" s="45"/>
      <c r="AY18" s="45"/>
      <c r="AZ18" s="45"/>
      <c r="BA18" s="46">
        <f t="shared" si="0"/>
        <v>123.24000000000001</v>
      </c>
      <c r="BB18" s="46">
        <f t="shared" si="0"/>
        <v>130.09</v>
      </c>
      <c r="BC18" s="9">
        <f t="shared" si="4"/>
        <v>1.0555826030509574</v>
      </c>
    </row>
    <row r="19" spans="1:55" ht="15.6" x14ac:dyDescent="0.3">
      <c r="A19" s="51" t="s">
        <v>38</v>
      </c>
      <c r="B19" s="45"/>
      <c r="C19" s="45"/>
      <c r="D19" s="45"/>
      <c r="E19" s="45">
        <v>2.4</v>
      </c>
      <c r="F19" s="45">
        <v>3.84</v>
      </c>
      <c r="G19" s="45">
        <f t="shared" si="1"/>
        <v>1.6</v>
      </c>
      <c r="H19" s="45">
        <v>6.5</v>
      </c>
      <c r="I19" s="45">
        <v>3.9</v>
      </c>
      <c r="J19" s="45">
        <f t="shared" si="2"/>
        <v>0.6</v>
      </c>
      <c r="K19" s="45">
        <v>1.4</v>
      </c>
      <c r="L19" s="45">
        <v>16.399999999999999</v>
      </c>
      <c r="M19" s="45">
        <f t="shared" si="3"/>
        <v>11.714285714285714</v>
      </c>
      <c r="N19" s="45">
        <v>0.17</v>
      </c>
      <c r="O19" s="45">
        <v>0</v>
      </c>
      <c r="P19" s="45">
        <f t="shared" si="6"/>
        <v>0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6">
        <f t="shared" si="0"/>
        <v>10.47</v>
      </c>
      <c r="BB19" s="46">
        <f t="shared" si="0"/>
        <v>24.14</v>
      </c>
      <c r="BC19" s="9">
        <f t="shared" si="4"/>
        <v>2.305635148042025</v>
      </c>
    </row>
    <row r="20" spans="1:55" ht="15.6" x14ac:dyDescent="0.3">
      <c r="A20" s="44" t="s">
        <v>39</v>
      </c>
      <c r="B20" s="45">
        <v>0.95</v>
      </c>
      <c r="C20" s="45">
        <v>0.64</v>
      </c>
      <c r="D20" s="45">
        <f t="shared" si="5"/>
        <v>0.67368421052631589</v>
      </c>
      <c r="E20" s="45">
        <v>9.6419999999999995</v>
      </c>
      <c r="F20" s="45">
        <v>62.99</v>
      </c>
      <c r="G20" s="45">
        <f t="shared" si="1"/>
        <v>6.5328769964737612</v>
      </c>
      <c r="H20" s="45">
        <v>2.0099999999999998</v>
      </c>
      <c r="I20" s="45">
        <v>1.56</v>
      </c>
      <c r="J20" s="45">
        <f t="shared" si="2"/>
        <v>0.77611940298507476</v>
      </c>
      <c r="K20" s="45">
        <v>2.17</v>
      </c>
      <c r="L20" s="45">
        <v>12.53</v>
      </c>
      <c r="M20" s="45">
        <f t="shared" si="3"/>
        <v>5.774193548387097</v>
      </c>
      <c r="N20" s="45">
        <v>0.28000000000000003</v>
      </c>
      <c r="O20" s="45">
        <v>1.1100000000000001</v>
      </c>
      <c r="P20" s="45">
        <f t="shared" si="6"/>
        <v>3.9642857142857144</v>
      </c>
      <c r="Q20" s="45"/>
      <c r="R20" s="45"/>
      <c r="S20" s="45"/>
      <c r="T20" s="45">
        <v>0.01</v>
      </c>
      <c r="U20" s="45">
        <v>0.05</v>
      </c>
      <c r="V20" s="45">
        <f t="shared" si="7"/>
        <v>5</v>
      </c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>
        <v>2.44</v>
      </c>
      <c r="AM20" s="45">
        <v>5</v>
      </c>
      <c r="AN20" s="45">
        <f t="shared" si="13"/>
        <v>2.0491803278688523</v>
      </c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6">
        <f t="shared" si="0"/>
        <v>17.501999999999999</v>
      </c>
      <c r="BB20" s="46">
        <f t="shared" si="0"/>
        <v>83.88</v>
      </c>
      <c r="BC20" s="9">
        <f t="shared" si="4"/>
        <v>4.7925951319849158</v>
      </c>
    </row>
    <row r="21" spans="1:55" ht="15.6" x14ac:dyDescent="0.3">
      <c r="A21" s="44" t="s">
        <v>40</v>
      </c>
      <c r="B21" s="45">
        <v>7.0000000000000007E-2</v>
      </c>
      <c r="C21" s="45">
        <v>0</v>
      </c>
      <c r="D21" s="45">
        <f t="shared" si="5"/>
        <v>0</v>
      </c>
      <c r="E21" s="45">
        <v>7.65</v>
      </c>
      <c r="F21" s="45">
        <v>31.2</v>
      </c>
      <c r="G21" s="45">
        <f t="shared" si="1"/>
        <v>4.0784313725490193</v>
      </c>
      <c r="H21" s="45">
        <v>9.14</v>
      </c>
      <c r="I21" s="45">
        <v>9.33</v>
      </c>
      <c r="J21" s="45">
        <f t="shared" si="2"/>
        <v>1.0207877461706782</v>
      </c>
      <c r="K21" s="45">
        <v>6.35</v>
      </c>
      <c r="L21" s="45">
        <v>25.13</v>
      </c>
      <c r="M21" s="45">
        <f t="shared" si="3"/>
        <v>3.9574803149606299</v>
      </c>
      <c r="N21" s="45">
        <v>0.02</v>
      </c>
      <c r="O21" s="45">
        <v>0.01</v>
      </c>
      <c r="P21" s="45">
        <f t="shared" si="6"/>
        <v>0.5</v>
      </c>
      <c r="Q21" s="45"/>
      <c r="R21" s="45"/>
      <c r="S21" s="45"/>
      <c r="T21" s="45">
        <v>0.06</v>
      </c>
      <c r="U21" s="45">
        <v>0.02</v>
      </c>
      <c r="V21" s="45">
        <f t="shared" si="7"/>
        <v>0.33333333333333337</v>
      </c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>
        <v>0.01</v>
      </c>
      <c r="AV21" s="45">
        <v>0.03</v>
      </c>
      <c r="AW21" s="45">
        <f t="shared" si="15"/>
        <v>3</v>
      </c>
      <c r="AX21" s="45"/>
      <c r="AY21" s="45"/>
      <c r="AZ21" s="45"/>
      <c r="BA21" s="46">
        <f t="shared" si="0"/>
        <v>23.3</v>
      </c>
      <c r="BB21" s="46">
        <f t="shared" si="0"/>
        <v>65.72</v>
      </c>
      <c r="BC21" s="9">
        <f t="shared" si="4"/>
        <v>2.8206008583690987</v>
      </c>
    </row>
    <row r="22" spans="1:55" ht="15.6" x14ac:dyDescent="0.3">
      <c r="A22" s="48" t="s">
        <v>41</v>
      </c>
      <c r="B22" s="45">
        <v>0.23</v>
      </c>
      <c r="C22" s="45">
        <v>0.01</v>
      </c>
      <c r="D22" s="45">
        <f t="shared" si="5"/>
        <v>4.3478260869565216E-2</v>
      </c>
      <c r="E22" s="45">
        <v>5.32</v>
      </c>
      <c r="F22" s="45">
        <v>36</v>
      </c>
      <c r="G22" s="45">
        <f t="shared" si="1"/>
        <v>6.7669172932330826</v>
      </c>
      <c r="H22" s="45">
        <v>0.8</v>
      </c>
      <c r="I22" s="45">
        <v>1</v>
      </c>
      <c r="J22" s="45">
        <f t="shared" si="2"/>
        <v>1.25</v>
      </c>
      <c r="K22" s="45">
        <v>0.12</v>
      </c>
      <c r="L22" s="45">
        <v>0.5</v>
      </c>
      <c r="M22" s="45">
        <f t="shared" si="3"/>
        <v>4.166666666666667</v>
      </c>
      <c r="N22" s="45">
        <v>0.1</v>
      </c>
      <c r="O22" s="45">
        <v>0.15</v>
      </c>
      <c r="P22" s="45">
        <f t="shared" si="6"/>
        <v>1.4999999999999998</v>
      </c>
      <c r="Q22" s="45">
        <v>3.2</v>
      </c>
      <c r="R22" s="45">
        <v>1.5</v>
      </c>
      <c r="S22" s="45">
        <f t="shared" si="14"/>
        <v>0.46875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6">
        <f t="shared" si="0"/>
        <v>9.77</v>
      </c>
      <c r="BB22" s="46">
        <f t="shared" si="0"/>
        <v>39.159999999999997</v>
      </c>
      <c r="BC22" s="9">
        <f t="shared" si="4"/>
        <v>4.0081883316274309</v>
      </c>
    </row>
    <row r="23" spans="1:55" ht="15.6" x14ac:dyDescent="0.3">
      <c r="A23" s="44" t="s">
        <v>42</v>
      </c>
      <c r="B23" s="45"/>
      <c r="C23" s="45"/>
      <c r="D23" s="45"/>
      <c r="E23" s="45">
        <v>15.843999999999999</v>
      </c>
      <c r="F23" s="45">
        <v>35</v>
      </c>
      <c r="G23" s="45">
        <f t="shared" si="1"/>
        <v>2.2090381216864428</v>
      </c>
      <c r="H23" s="45">
        <v>75</v>
      </c>
      <c r="I23" s="45">
        <v>70</v>
      </c>
      <c r="J23" s="45">
        <f t="shared" si="2"/>
        <v>0.93333333333333335</v>
      </c>
      <c r="K23" s="45">
        <v>2.48</v>
      </c>
      <c r="L23" s="45">
        <v>30</v>
      </c>
      <c r="M23" s="45">
        <f t="shared" si="3"/>
        <v>12.096774193548388</v>
      </c>
      <c r="N23" s="45">
        <v>10.9</v>
      </c>
      <c r="O23" s="45">
        <v>35.5</v>
      </c>
      <c r="P23" s="45">
        <f t="shared" si="6"/>
        <v>3.2568807339449539</v>
      </c>
      <c r="Q23" s="45"/>
      <c r="R23" s="45"/>
      <c r="S23" s="45"/>
      <c r="T23" s="45">
        <v>19.100000000000001</v>
      </c>
      <c r="U23" s="45">
        <v>11</v>
      </c>
      <c r="V23" s="45">
        <f t="shared" si="7"/>
        <v>0.57591623036649209</v>
      </c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6">
        <f t="shared" si="0"/>
        <v>123.32400000000001</v>
      </c>
      <c r="BB23" s="46">
        <f t="shared" si="0"/>
        <v>181.5</v>
      </c>
      <c r="BC23" s="9">
        <f t="shared" si="4"/>
        <v>1.4717329960105088</v>
      </c>
    </row>
    <row r="24" spans="1:55" ht="15.6" x14ac:dyDescent="0.3">
      <c r="A24" s="48" t="s">
        <v>43</v>
      </c>
      <c r="B24" s="45">
        <v>0.01</v>
      </c>
      <c r="C24" s="45">
        <v>0.01</v>
      </c>
      <c r="D24" s="45">
        <f t="shared" si="5"/>
        <v>1</v>
      </c>
      <c r="E24" s="45"/>
      <c r="F24" s="45"/>
      <c r="G24" s="45"/>
      <c r="H24" s="45">
        <v>0.01</v>
      </c>
      <c r="I24" s="45">
        <v>0.01</v>
      </c>
      <c r="J24" s="45">
        <f t="shared" si="2"/>
        <v>1</v>
      </c>
      <c r="K24" s="45">
        <v>0.01</v>
      </c>
      <c r="L24" s="45">
        <v>0.01</v>
      </c>
      <c r="M24" s="45">
        <f t="shared" si="3"/>
        <v>1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>
        <v>0.06</v>
      </c>
      <c r="AV24" s="45">
        <v>0.35</v>
      </c>
      <c r="AW24" s="45">
        <f t="shared" si="15"/>
        <v>5.833333333333333</v>
      </c>
      <c r="AX24" s="45"/>
      <c r="AY24" s="45"/>
      <c r="AZ24" s="45"/>
      <c r="BA24" s="46">
        <f t="shared" si="0"/>
        <v>0.09</v>
      </c>
      <c r="BB24" s="46">
        <f t="shared" si="0"/>
        <v>0.38</v>
      </c>
      <c r="BC24" s="9">
        <f t="shared" si="4"/>
        <v>4.2222222222222223</v>
      </c>
    </row>
    <row r="25" spans="1:55" ht="15.6" x14ac:dyDescent="0.3">
      <c r="A25" s="44" t="s">
        <v>44</v>
      </c>
      <c r="B25" s="45"/>
      <c r="C25" s="45"/>
      <c r="D25" s="45"/>
      <c r="E25" s="45"/>
      <c r="F25" s="45"/>
      <c r="G25" s="45"/>
      <c r="H25" s="45">
        <v>10.6</v>
      </c>
      <c r="I25" s="45">
        <v>17.7</v>
      </c>
      <c r="J25" s="45">
        <f t="shared" si="2"/>
        <v>1.6698113207547169</v>
      </c>
      <c r="K25" s="45">
        <v>0.78</v>
      </c>
      <c r="L25" s="45">
        <v>2.71</v>
      </c>
      <c r="M25" s="45">
        <f t="shared" si="3"/>
        <v>3.474358974358974</v>
      </c>
      <c r="N25" s="45">
        <v>5.89</v>
      </c>
      <c r="O25" s="45">
        <v>65.599999999999994</v>
      </c>
      <c r="P25" s="45">
        <f t="shared" si="6"/>
        <v>11.137521222410866</v>
      </c>
      <c r="Q25" s="45"/>
      <c r="R25" s="45"/>
      <c r="S25" s="45"/>
      <c r="T25" s="45"/>
      <c r="U25" s="45"/>
      <c r="V25" s="45"/>
      <c r="W25" s="45"/>
      <c r="X25" s="45"/>
      <c r="Y25" s="45"/>
      <c r="Z25" s="47"/>
      <c r="AA25" s="47"/>
      <c r="AB25" s="45"/>
      <c r="AC25" s="45"/>
      <c r="AD25" s="45"/>
      <c r="AE25" s="45"/>
      <c r="AF25" s="45"/>
      <c r="AG25" s="45"/>
      <c r="AH25" s="45"/>
      <c r="AI25" s="45">
        <v>4.07</v>
      </c>
      <c r="AJ25" s="45">
        <v>5.51</v>
      </c>
      <c r="AK25" s="45">
        <f>AJ25/AI25</f>
        <v>1.3538083538083536</v>
      </c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6">
        <f t="shared" si="0"/>
        <v>21.34</v>
      </c>
      <c r="BB25" s="46">
        <f t="shared" si="0"/>
        <v>91.52</v>
      </c>
      <c r="BC25" s="9">
        <f t="shared" si="4"/>
        <v>4.2886597938144329</v>
      </c>
    </row>
    <row r="26" spans="1:55" ht="15.6" x14ac:dyDescent="0.3">
      <c r="A26" s="44" t="s">
        <v>45</v>
      </c>
      <c r="B26" s="45"/>
      <c r="C26" s="45"/>
      <c r="D26" s="45"/>
      <c r="E26" s="45">
        <v>0.12</v>
      </c>
      <c r="F26" s="45">
        <v>0.23</v>
      </c>
      <c r="G26" s="45">
        <f t="shared" si="1"/>
        <v>1.9166666666666667</v>
      </c>
      <c r="H26" s="45">
        <v>9.67</v>
      </c>
      <c r="I26" s="45">
        <v>12.81</v>
      </c>
      <c r="J26" s="45">
        <f t="shared" si="2"/>
        <v>1.3247156153050672</v>
      </c>
      <c r="K26" s="45">
        <v>0.14000000000000001</v>
      </c>
      <c r="L26" s="45">
        <v>0.39</v>
      </c>
      <c r="M26" s="45">
        <f t="shared" si="3"/>
        <v>2.7857142857142856</v>
      </c>
      <c r="N26" s="45">
        <v>50.16</v>
      </c>
      <c r="O26" s="45">
        <v>172.04</v>
      </c>
      <c r="P26" s="45">
        <f t="shared" si="6"/>
        <v>3.429824561403509</v>
      </c>
      <c r="Q26" s="45"/>
      <c r="R26" s="45"/>
      <c r="S26" s="45"/>
      <c r="T26" s="45">
        <v>249.31</v>
      </c>
      <c r="U26" s="45">
        <v>198.76</v>
      </c>
      <c r="V26" s="45">
        <f t="shared" si="7"/>
        <v>0.79724038345834503</v>
      </c>
      <c r="W26" s="45">
        <v>434.78</v>
      </c>
      <c r="X26" s="45">
        <v>120.83</v>
      </c>
      <c r="Y26" s="45">
        <f t="shared" si="11"/>
        <v>0.27791066746400478</v>
      </c>
      <c r="Z26" s="45">
        <v>15.56</v>
      </c>
      <c r="AA26" s="45">
        <v>13.85</v>
      </c>
      <c r="AB26" s="45">
        <f t="shared" si="9"/>
        <v>0.89010282776349614</v>
      </c>
      <c r="AC26" s="45">
        <v>81.7</v>
      </c>
      <c r="AD26" s="45">
        <v>84.19</v>
      </c>
      <c r="AE26" s="45">
        <f t="shared" si="10"/>
        <v>1.0304773561811504</v>
      </c>
      <c r="AF26" s="45">
        <v>12.62</v>
      </c>
      <c r="AG26" s="45">
        <v>9.2200000000000006</v>
      </c>
      <c r="AH26" s="45"/>
      <c r="AI26" s="45">
        <v>12.8</v>
      </c>
      <c r="AJ26" s="45">
        <v>6</v>
      </c>
      <c r="AK26" s="45">
        <f>AJ26/AI26</f>
        <v>0.46875</v>
      </c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6">
        <f t="shared" si="0"/>
        <v>866.8599999999999</v>
      </c>
      <c r="BB26" s="46">
        <f t="shared" si="0"/>
        <v>618.31999999999994</v>
      </c>
      <c r="BC26" s="9">
        <f t="shared" si="4"/>
        <v>0.71328703596889931</v>
      </c>
    </row>
    <row r="27" spans="1:55" ht="15.6" x14ac:dyDescent="0.3">
      <c r="A27" s="44" t="s">
        <v>46</v>
      </c>
      <c r="B27" s="45"/>
      <c r="C27" s="45"/>
      <c r="D27" s="45"/>
      <c r="E27" s="45">
        <v>9.3000000000000007</v>
      </c>
      <c r="F27" s="45">
        <v>52.11</v>
      </c>
      <c r="G27" s="45">
        <f t="shared" si="1"/>
        <v>5.6032258064516123</v>
      </c>
      <c r="H27" s="45"/>
      <c r="I27" s="45"/>
      <c r="J27" s="45"/>
      <c r="K27" s="45">
        <v>1.7</v>
      </c>
      <c r="L27" s="45">
        <v>4.95</v>
      </c>
      <c r="M27" s="45">
        <f t="shared" si="3"/>
        <v>2.9117647058823533</v>
      </c>
      <c r="N27" s="45"/>
      <c r="O27" s="45"/>
      <c r="P27" s="45"/>
      <c r="Q27" s="45">
        <v>23.08</v>
      </c>
      <c r="R27" s="45">
        <v>4.08</v>
      </c>
      <c r="S27" s="45">
        <f t="shared" si="14"/>
        <v>0.17677642980935876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6">
        <f t="shared" si="0"/>
        <v>34.08</v>
      </c>
      <c r="BB27" s="46">
        <f t="shared" si="0"/>
        <v>61.14</v>
      </c>
      <c r="BC27" s="9">
        <f t="shared" si="4"/>
        <v>1.7940140845070423</v>
      </c>
    </row>
    <row r="28" spans="1:55" ht="15.6" x14ac:dyDescent="0.3">
      <c r="A28" s="44" t="s">
        <v>47</v>
      </c>
      <c r="B28" s="45">
        <v>3.92</v>
      </c>
      <c r="C28" s="45">
        <v>0.86</v>
      </c>
      <c r="D28" s="45">
        <f t="shared" si="5"/>
        <v>0.21938775510204081</v>
      </c>
      <c r="E28" s="45">
        <v>0.30399999999999999</v>
      </c>
      <c r="F28" s="45">
        <v>2.12</v>
      </c>
      <c r="G28" s="45">
        <f t="shared" si="1"/>
        <v>6.9736842105263159</v>
      </c>
      <c r="H28" s="45">
        <v>41.4</v>
      </c>
      <c r="I28" s="45">
        <v>11.29</v>
      </c>
      <c r="J28" s="45">
        <f t="shared" si="2"/>
        <v>0.2727053140096618</v>
      </c>
      <c r="K28" s="45">
        <v>31.97</v>
      </c>
      <c r="L28" s="45">
        <v>117.42</v>
      </c>
      <c r="M28" s="45">
        <f t="shared" si="3"/>
        <v>3.6728182671254301</v>
      </c>
      <c r="N28" s="45">
        <v>0.51</v>
      </c>
      <c r="O28" s="45">
        <v>2.89</v>
      </c>
      <c r="P28" s="45">
        <f t="shared" si="6"/>
        <v>5.666666666666667</v>
      </c>
      <c r="Q28" s="45">
        <v>5.16</v>
      </c>
      <c r="R28" s="45">
        <v>0.95</v>
      </c>
      <c r="S28" s="45">
        <f t="shared" si="14"/>
        <v>0.18410852713178294</v>
      </c>
      <c r="T28" s="45">
        <v>7.53</v>
      </c>
      <c r="U28" s="45">
        <v>2.61</v>
      </c>
      <c r="V28" s="45">
        <f t="shared" si="7"/>
        <v>0.34661354581673304</v>
      </c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>
        <v>0.09</v>
      </c>
      <c r="AP28" s="45">
        <v>0</v>
      </c>
      <c r="AQ28" s="45">
        <f t="shared" si="8"/>
        <v>0</v>
      </c>
      <c r="AR28" s="45">
        <v>0.97</v>
      </c>
      <c r="AS28" s="45">
        <v>0.96</v>
      </c>
      <c r="AT28" s="45">
        <f>AS28/AR28</f>
        <v>0.98969072164948457</v>
      </c>
      <c r="AU28" s="45">
        <v>15.65</v>
      </c>
      <c r="AV28" s="45">
        <v>48.81</v>
      </c>
      <c r="AW28" s="45">
        <f t="shared" si="15"/>
        <v>3.1188498402555913</v>
      </c>
      <c r="AX28" s="45"/>
      <c r="AY28" s="45"/>
      <c r="AZ28" s="45"/>
      <c r="BA28" s="46">
        <f t="shared" si="0"/>
        <v>107.504</v>
      </c>
      <c r="BB28" s="46">
        <f t="shared" si="0"/>
        <v>187.91</v>
      </c>
      <c r="BC28" s="9">
        <f t="shared" si="4"/>
        <v>1.7479349605596071</v>
      </c>
    </row>
    <row r="29" spans="1:55" ht="15.6" x14ac:dyDescent="0.3">
      <c r="A29" s="44" t="s">
        <v>56</v>
      </c>
      <c r="B29" s="45"/>
      <c r="C29" s="45"/>
      <c r="D29" s="45"/>
      <c r="E29" s="45">
        <v>2.1859999999999999</v>
      </c>
      <c r="F29" s="45">
        <v>16.54</v>
      </c>
      <c r="G29" s="45">
        <f t="shared" si="1"/>
        <v>7.5663311985361386</v>
      </c>
      <c r="H29" s="45">
        <v>73.27</v>
      </c>
      <c r="I29" s="45">
        <v>253.26</v>
      </c>
      <c r="J29" s="45">
        <f t="shared" si="2"/>
        <v>3.4565306400982667</v>
      </c>
      <c r="K29" s="45">
        <v>43.48</v>
      </c>
      <c r="L29" s="45">
        <v>216.27</v>
      </c>
      <c r="M29" s="45">
        <f t="shared" si="3"/>
        <v>4.9740110395584178</v>
      </c>
      <c r="N29" s="45">
        <v>0.32</v>
      </c>
      <c r="O29" s="45">
        <v>1.68</v>
      </c>
      <c r="P29" s="45">
        <f t="shared" si="6"/>
        <v>5.25</v>
      </c>
      <c r="Q29" s="45"/>
      <c r="R29" s="45"/>
      <c r="S29" s="45"/>
      <c r="T29" s="45">
        <v>1.6</v>
      </c>
      <c r="U29" s="45">
        <v>0.38</v>
      </c>
      <c r="V29" s="45">
        <f t="shared" si="7"/>
        <v>0.23749999999999999</v>
      </c>
      <c r="W29" s="45"/>
      <c r="X29" s="45"/>
      <c r="Y29" s="45"/>
      <c r="Z29" s="45"/>
      <c r="AA29" s="45"/>
      <c r="AB29" s="45"/>
      <c r="AC29" s="45"/>
      <c r="AD29" s="45"/>
      <c r="AE29" s="45"/>
      <c r="AF29" s="45">
        <v>1.06</v>
      </c>
      <c r="AG29" s="45">
        <v>0.48</v>
      </c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>
        <v>0.44</v>
      </c>
      <c r="AV29" s="45">
        <v>5.32</v>
      </c>
      <c r="AW29" s="45">
        <f t="shared" si="15"/>
        <v>12.090909090909092</v>
      </c>
      <c r="AX29" s="45"/>
      <c r="AY29" s="45"/>
      <c r="AZ29" s="45"/>
      <c r="BA29" s="46">
        <f t="shared" si="0"/>
        <v>122.35599999999997</v>
      </c>
      <c r="BB29" s="46">
        <f t="shared" si="0"/>
        <v>493.93000000000006</v>
      </c>
      <c r="BC29" s="9">
        <f t="shared" si="4"/>
        <v>4.0368269639412881</v>
      </c>
    </row>
    <row r="30" spans="1:55" ht="15.6" x14ac:dyDescent="0.3">
      <c r="A30" s="44" t="s">
        <v>48</v>
      </c>
      <c r="B30" s="45">
        <v>0.24</v>
      </c>
      <c r="C30" s="45">
        <v>0.15</v>
      </c>
      <c r="D30" s="45">
        <f t="shared" si="5"/>
        <v>0.625</v>
      </c>
      <c r="E30" s="45">
        <v>1.8</v>
      </c>
      <c r="F30" s="45">
        <v>7.6</v>
      </c>
      <c r="G30" s="45">
        <f t="shared" si="1"/>
        <v>4.2222222222222223</v>
      </c>
      <c r="H30" s="45">
        <v>2.35</v>
      </c>
      <c r="I30" s="45">
        <v>3.7</v>
      </c>
      <c r="J30" s="45">
        <f t="shared" si="2"/>
        <v>1.574468085106383</v>
      </c>
      <c r="K30" s="45">
        <v>1.3</v>
      </c>
      <c r="L30" s="45">
        <v>6.59</v>
      </c>
      <c r="M30" s="45">
        <f t="shared" si="3"/>
        <v>5.069230769230769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6">
        <f t="shared" si="0"/>
        <v>5.69</v>
      </c>
      <c r="BB30" s="46">
        <f t="shared" si="0"/>
        <v>18.04</v>
      </c>
      <c r="BC30" s="9">
        <f t="shared" si="4"/>
        <v>3.1704745166959576</v>
      </c>
    </row>
    <row r="31" spans="1:55" ht="15.6" x14ac:dyDescent="0.3">
      <c r="A31" s="44" t="s">
        <v>49</v>
      </c>
      <c r="B31" s="45"/>
      <c r="C31" s="45"/>
      <c r="D31" s="45"/>
      <c r="E31" s="45">
        <v>0.94399999999999995</v>
      </c>
      <c r="F31" s="45">
        <v>4.3499999999999996</v>
      </c>
      <c r="G31" s="45">
        <f t="shared" si="1"/>
        <v>4.6080508474576272</v>
      </c>
      <c r="H31" s="45">
        <v>13.28</v>
      </c>
      <c r="I31" s="45">
        <v>10.95</v>
      </c>
      <c r="J31" s="45">
        <f t="shared" si="2"/>
        <v>0.82454819277108438</v>
      </c>
      <c r="K31" s="45">
        <v>2</v>
      </c>
      <c r="L31" s="45">
        <v>6</v>
      </c>
      <c r="M31" s="45">
        <f t="shared" si="3"/>
        <v>3</v>
      </c>
      <c r="N31" s="45">
        <v>33.86</v>
      </c>
      <c r="O31" s="45">
        <v>196.13</v>
      </c>
      <c r="P31" s="45">
        <f t="shared" si="6"/>
        <v>5.7923803898405195</v>
      </c>
      <c r="Q31" s="45"/>
      <c r="R31" s="45"/>
      <c r="S31" s="45"/>
      <c r="T31" s="45">
        <v>6.87</v>
      </c>
      <c r="U31" s="45">
        <v>3.33</v>
      </c>
      <c r="V31" s="45">
        <f t="shared" si="7"/>
        <v>0.48471615720524019</v>
      </c>
      <c r="W31" s="45">
        <v>0</v>
      </c>
      <c r="X31" s="45">
        <v>0.01</v>
      </c>
      <c r="Y31" s="45"/>
      <c r="Z31" s="45">
        <v>0.73</v>
      </c>
      <c r="AA31" s="45">
        <v>0.71</v>
      </c>
      <c r="AB31" s="45">
        <f t="shared" si="9"/>
        <v>0.9726027397260274</v>
      </c>
      <c r="AC31" s="45">
        <v>0.36</v>
      </c>
      <c r="AD31" s="45">
        <v>0.23</v>
      </c>
      <c r="AE31" s="45">
        <f t="shared" si="10"/>
        <v>0.63888888888888895</v>
      </c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6">
        <f t="shared" si="0"/>
        <v>58.043999999999997</v>
      </c>
      <c r="BB31" s="46">
        <f t="shared" si="0"/>
        <v>221.71</v>
      </c>
      <c r="BC31" s="9">
        <f t="shared" si="4"/>
        <v>3.8196885121631867</v>
      </c>
    </row>
    <row r="32" spans="1:55" ht="15.6" x14ac:dyDescent="0.3">
      <c r="A32" s="44" t="s">
        <v>50</v>
      </c>
      <c r="B32" s="45"/>
      <c r="C32" s="45"/>
      <c r="D32" s="45"/>
      <c r="E32" s="45">
        <v>2.355</v>
      </c>
      <c r="F32" s="45">
        <v>23.44</v>
      </c>
      <c r="G32" s="45">
        <f t="shared" si="1"/>
        <v>9.9532908704883241</v>
      </c>
      <c r="H32" s="45">
        <v>2</v>
      </c>
      <c r="I32" s="45">
        <v>7.2</v>
      </c>
      <c r="J32" s="45">
        <f t="shared" si="2"/>
        <v>3.6</v>
      </c>
      <c r="K32" s="45">
        <v>1.34</v>
      </c>
      <c r="L32" s="45">
        <v>2.4900000000000002</v>
      </c>
      <c r="M32" s="45">
        <f t="shared" si="3"/>
        <v>1.8582089552238807</v>
      </c>
      <c r="N32" s="45">
        <v>1.0900000000000001</v>
      </c>
      <c r="O32" s="45">
        <v>1.54</v>
      </c>
      <c r="P32" s="45">
        <f t="shared" si="6"/>
        <v>1.4128440366972477</v>
      </c>
      <c r="Q32" s="45"/>
      <c r="R32" s="45"/>
      <c r="S32" s="45"/>
      <c r="T32" s="45">
        <v>0.9</v>
      </c>
      <c r="U32" s="45">
        <v>3.8</v>
      </c>
      <c r="V32" s="45">
        <f t="shared" si="7"/>
        <v>4.2222222222222223</v>
      </c>
      <c r="W32" s="45"/>
      <c r="X32" s="45"/>
      <c r="Y32" s="45"/>
      <c r="Z32" s="45"/>
      <c r="AA32" s="45"/>
      <c r="AB32" s="45"/>
      <c r="AC32" s="45">
        <v>0.4</v>
      </c>
      <c r="AD32" s="45">
        <v>2.61</v>
      </c>
      <c r="AE32" s="45">
        <f t="shared" si="10"/>
        <v>6.5249999999999995</v>
      </c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6">
        <f t="shared" si="0"/>
        <v>8.0850000000000009</v>
      </c>
      <c r="BB32" s="46">
        <f t="shared" si="0"/>
        <v>41.08</v>
      </c>
      <c r="BC32" s="9">
        <f t="shared" si="4"/>
        <v>5.0810142238713656</v>
      </c>
    </row>
    <row r="33" spans="1:55" ht="15.6" x14ac:dyDescent="0.3">
      <c r="A33" s="44" t="s">
        <v>51</v>
      </c>
      <c r="B33" s="45"/>
      <c r="C33" s="45"/>
      <c r="D33" s="45"/>
      <c r="E33" s="45">
        <v>11.5</v>
      </c>
      <c r="F33" s="45">
        <v>25</v>
      </c>
      <c r="G33" s="45">
        <f t="shared" si="1"/>
        <v>2.1739130434782608</v>
      </c>
      <c r="H33" s="45">
        <v>63.6</v>
      </c>
      <c r="I33" s="45">
        <v>100</v>
      </c>
      <c r="J33" s="45">
        <f t="shared" si="2"/>
        <v>1.5723270440251571</v>
      </c>
      <c r="K33" s="45">
        <v>15.8</v>
      </c>
      <c r="L33" s="45">
        <v>42</v>
      </c>
      <c r="M33" s="45">
        <f t="shared" si="3"/>
        <v>2.6582278481012658</v>
      </c>
      <c r="N33" s="45">
        <v>3.35</v>
      </c>
      <c r="O33" s="45">
        <v>40</v>
      </c>
      <c r="P33" s="45">
        <f t="shared" si="6"/>
        <v>11.940298507462686</v>
      </c>
      <c r="Q33" s="45">
        <v>3.31</v>
      </c>
      <c r="R33" s="45">
        <v>0.78</v>
      </c>
      <c r="S33" s="45">
        <f t="shared" si="14"/>
        <v>0.23564954682779457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6">
        <f t="shared" si="0"/>
        <v>97.559999999999988</v>
      </c>
      <c r="BB33" s="46">
        <f t="shared" si="0"/>
        <v>207.78</v>
      </c>
      <c r="BC33" s="9">
        <f t="shared" si="4"/>
        <v>2.129766297662977</v>
      </c>
    </row>
    <row r="34" spans="1:55" ht="15.6" x14ac:dyDescent="0.3">
      <c r="A34" s="44" t="s">
        <v>52</v>
      </c>
      <c r="B34" s="126">
        <f>SUM(B3:B33)</f>
        <v>128.67000000000002</v>
      </c>
      <c r="C34" s="181">
        <f t="shared" ref="C34:BB34" si="16">SUM(C3:C33)</f>
        <v>64.64</v>
      </c>
      <c r="D34" s="52">
        <f t="shared" si="5"/>
        <v>0.50237040491178975</v>
      </c>
      <c r="E34" s="126">
        <f t="shared" si="16"/>
        <v>141.65299999999999</v>
      </c>
      <c r="F34" s="115">
        <f t="shared" si="16"/>
        <v>760.31000000000006</v>
      </c>
      <c r="G34" s="134">
        <f>F34/E34</f>
        <v>5.3674119150318038</v>
      </c>
      <c r="H34" s="126">
        <f t="shared" si="16"/>
        <v>760.9799999999999</v>
      </c>
      <c r="I34" s="115">
        <f t="shared" si="16"/>
        <v>1605.0099999999998</v>
      </c>
      <c r="J34" s="52">
        <f t="shared" si="2"/>
        <v>2.1091355883203238</v>
      </c>
      <c r="K34" s="126">
        <f t="shared" si="16"/>
        <v>184.44000000000005</v>
      </c>
      <c r="L34" s="115">
        <f t="shared" si="16"/>
        <v>830.38999999999987</v>
      </c>
      <c r="M34" s="134">
        <f t="shared" si="3"/>
        <v>4.5022229451312059</v>
      </c>
      <c r="N34" s="126">
        <f t="shared" si="16"/>
        <v>262.06</v>
      </c>
      <c r="O34" s="115">
        <f t="shared" si="16"/>
        <v>1425.46</v>
      </c>
      <c r="P34" s="134">
        <f t="shared" si="6"/>
        <v>5.4394413493093188</v>
      </c>
      <c r="Q34" s="190">
        <f t="shared" si="16"/>
        <v>99.56</v>
      </c>
      <c r="R34" s="201">
        <f t="shared" si="16"/>
        <v>24.360000000000003</v>
      </c>
      <c r="S34" s="52">
        <f t="shared" si="14"/>
        <v>0.24467657693852957</v>
      </c>
      <c r="T34" s="126">
        <f t="shared" si="16"/>
        <v>552.66</v>
      </c>
      <c r="U34" s="115">
        <f t="shared" si="16"/>
        <v>461.71000000000004</v>
      </c>
      <c r="V34" s="52">
        <f t="shared" si="7"/>
        <v>0.83543227300691214</v>
      </c>
      <c r="W34" s="126">
        <f t="shared" si="16"/>
        <v>889.76</v>
      </c>
      <c r="X34" s="115">
        <f t="shared" si="16"/>
        <v>485.50999999999993</v>
      </c>
      <c r="Y34" s="52">
        <f t="shared" si="11"/>
        <v>0.54566399928070486</v>
      </c>
      <c r="Z34" s="190">
        <f t="shared" si="16"/>
        <v>38.659999999999997</v>
      </c>
      <c r="AA34" s="181">
        <f t="shared" si="16"/>
        <v>59.750000000000007</v>
      </c>
      <c r="AB34" s="52">
        <f t="shared" si="9"/>
        <v>1.5455250905328508</v>
      </c>
      <c r="AC34" s="190">
        <f t="shared" si="16"/>
        <v>123.35000000000001</v>
      </c>
      <c r="AD34" s="181">
        <f t="shared" si="16"/>
        <v>130.82</v>
      </c>
      <c r="AE34" s="52">
        <f t="shared" si="10"/>
        <v>1.0605593838670448</v>
      </c>
      <c r="AF34" s="190">
        <f t="shared" si="16"/>
        <v>24.09</v>
      </c>
      <c r="AG34" s="181">
        <f t="shared" si="16"/>
        <v>16.420000000000002</v>
      </c>
      <c r="AH34" s="52">
        <f>AG34/AF34</f>
        <v>0.68161062681610629</v>
      </c>
      <c r="AI34" s="211">
        <f t="shared" si="16"/>
        <v>24.270000000000003</v>
      </c>
      <c r="AJ34" s="181">
        <f t="shared" si="16"/>
        <v>20.52</v>
      </c>
      <c r="AK34" s="52">
        <f>AJ34/AI34</f>
        <v>0.84548825710754005</v>
      </c>
      <c r="AL34" s="211">
        <f t="shared" si="16"/>
        <v>2.7399999999999998</v>
      </c>
      <c r="AM34" s="201">
        <f t="shared" si="16"/>
        <v>5.05</v>
      </c>
      <c r="AN34" s="134">
        <f t="shared" si="13"/>
        <v>1.8430656934306571</v>
      </c>
      <c r="AO34" s="211">
        <f t="shared" si="16"/>
        <v>21.119999999999997</v>
      </c>
      <c r="AP34" s="201">
        <f t="shared" si="16"/>
        <v>14.4</v>
      </c>
      <c r="AQ34" s="52">
        <f t="shared" si="8"/>
        <v>0.68181818181818188</v>
      </c>
      <c r="AR34" s="211">
        <f t="shared" si="16"/>
        <v>2.3200000000000003</v>
      </c>
      <c r="AS34" s="201">
        <f t="shared" si="16"/>
        <v>1.22</v>
      </c>
      <c r="AT34" s="52">
        <f>AS34/AR34</f>
        <v>0.52586206896551713</v>
      </c>
      <c r="AU34" s="190">
        <f t="shared" si="16"/>
        <v>54.480000000000004</v>
      </c>
      <c r="AV34" s="115">
        <f t="shared" si="16"/>
        <v>201.66</v>
      </c>
      <c r="AW34" s="134">
        <f t="shared" si="15"/>
        <v>3.7015418502202642</v>
      </c>
      <c r="AX34" s="211">
        <f t="shared" si="16"/>
        <v>6.4700000000000006</v>
      </c>
      <c r="AY34" s="201">
        <f t="shared" si="16"/>
        <v>1.05</v>
      </c>
      <c r="AZ34" s="52">
        <f t="shared" si="12"/>
        <v>0.16228748068006182</v>
      </c>
      <c r="BA34" s="52">
        <f t="shared" si="16"/>
        <v>3317.282999999999</v>
      </c>
      <c r="BB34" s="52">
        <f t="shared" si="16"/>
        <v>6108.2800000000007</v>
      </c>
      <c r="BC34" s="9">
        <f t="shared" si="4"/>
        <v>1.8413502857609685</v>
      </c>
    </row>
  </sheetData>
  <mergeCells count="18">
    <mergeCell ref="Q1:R1"/>
    <mergeCell ref="B1:C1"/>
    <mergeCell ref="E1:F1"/>
    <mergeCell ref="H1:I1"/>
    <mergeCell ref="K1:L1"/>
    <mergeCell ref="N1:O1"/>
    <mergeCell ref="BA1:BB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E555-A864-4C9F-8B5C-4A9C46CD8379}">
  <dimension ref="A1:BC32"/>
  <sheetViews>
    <sheetView topLeftCell="AE13" workbookViewId="0">
      <selection activeCell="AX32" sqref="AX32"/>
    </sheetView>
  </sheetViews>
  <sheetFormatPr defaultRowHeight="14.4" x14ac:dyDescent="0.3"/>
  <cols>
    <col min="1" max="1" width="22.33203125" bestFit="1" customWidth="1"/>
  </cols>
  <sheetData>
    <row r="1" spans="1:55" ht="15.6" x14ac:dyDescent="0.3">
      <c r="A1" s="39" t="s">
        <v>54</v>
      </c>
      <c r="B1" s="231" t="s">
        <v>58</v>
      </c>
      <c r="C1" s="231"/>
      <c r="D1" s="41"/>
      <c r="E1" s="231" t="s">
        <v>59</v>
      </c>
      <c r="F1" s="231"/>
      <c r="G1" s="41"/>
      <c r="H1" s="231" t="s">
        <v>60</v>
      </c>
      <c r="I1" s="231"/>
      <c r="J1" s="41"/>
      <c r="K1" s="231" t="s">
        <v>61</v>
      </c>
      <c r="L1" s="231"/>
      <c r="M1" s="41"/>
      <c r="N1" s="231" t="s">
        <v>62</v>
      </c>
      <c r="O1" s="231"/>
      <c r="P1" s="41"/>
      <c r="Q1" s="231" t="s">
        <v>63</v>
      </c>
      <c r="R1" s="231"/>
      <c r="S1" s="41"/>
      <c r="T1" s="231" t="s">
        <v>64</v>
      </c>
      <c r="U1" s="231"/>
      <c r="V1" s="41"/>
      <c r="W1" s="231" t="s">
        <v>65</v>
      </c>
      <c r="X1" s="231"/>
      <c r="Y1" s="41"/>
      <c r="Z1" s="231" t="s">
        <v>66</v>
      </c>
      <c r="AA1" s="231"/>
      <c r="AB1" s="41"/>
      <c r="AC1" s="231" t="s">
        <v>67</v>
      </c>
      <c r="AD1" s="231"/>
      <c r="AE1" s="41"/>
      <c r="AF1" s="231" t="s">
        <v>68</v>
      </c>
      <c r="AG1" s="231"/>
      <c r="AH1" s="61"/>
      <c r="AI1" s="234" t="s">
        <v>69</v>
      </c>
      <c r="AJ1" s="235"/>
      <c r="AK1" s="63"/>
      <c r="AL1" s="234" t="s">
        <v>70</v>
      </c>
      <c r="AM1" s="235"/>
      <c r="AN1" s="62"/>
      <c r="AO1" s="231" t="s">
        <v>71</v>
      </c>
      <c r="AP1" s="231"/>
      <c r="AQ1" s="41"/>
      <c r="AR1" s="231" t="s">
        <v>72</v>
      </c>
      <c r="AS1" s="231"/>
      <c r="AT1" s="41"/>
      <c r="AU1" s="231" t="s">
        <v>73</v>
      </c>
      <c r="AV1" s="231"/>
      <c r="AW1" s="61"/>
      <c r="AX1" s="234" t="s">
        <v>74</v>
      </c>
      <c r="AY1" s="235"/>
      <c r="AZ1" s="62"/>
      <c r="BA1" s="231" t="s">
        <v>52</v>
      </c>
      <c r="BB1" s="231"/>
      <c r="BC1" s="9"/>
    </row>
    <row r="2" spans="1:55" ht="15.6" x14ac:dyDescent="0.3">
      <c r="A2" s="43"/>
      <c r="B2" s="41" t="s">
        <v>19</v>
      </c>
      <c r="C2" s="41" t="s">
        <v>20</v>
      </c>
      <c r="D2" s="41" t="s">
        <v>21</v>
      </c>
      <c r="E2" s="41" t="s">
        <v>19</v>
      </c>
      <c r="F2" s="41" t="s">
        <v>20</v>
      </c>
      <c r="G2" s="41" t="s">
        <v>21</v>
      </c>
      <c r="H2" s="41" t="s">
        <v>19</v>
      </c>
      <c r="I2" s="41" t="s">
        <v>20</v>
      </c>
      <c r="J2" s="41" t="s">
        <v>21</v>
      </c>
      <c r="K2" s="41" t="s">
        <v>19</v>
      </c>
      <c r="L2" s="41" t="s">
        <v>20</v>
      </c>
      <c r="M2" s="41" t="s">
        <v>21</v>
      </c>
      <c r="N2" s="41" t="s">
        <v>19</v>
      </c>
      <c r="O2" s="41" t="s">
        <v>20</v>
      </c>
      <c r="P2" s="41" t="s">
        <v>21</v>
      </c>
      <c r="Q2" s="41" t="s">
        <v>19</v>
      </c>
      <c r="R2" s="41" t="s">
        <v>20</v>
      </c>
      <c r="S2" s="41" t="s">
        <v>21</v>
      </c>
      <c r="T2" s="41" t="s">
        <v>19</v>
      </c>
      <c r="U2" s="41" t="s">
        <v>20</v>
      </c>
      <c r="V2" s="41" t="s">
        <v>21</v>
      </c>
      <c r="W2" s="41" t="s">
        <v>19</v>
      </c>
      <c r="X2" s="41" t="s">
        <v>20</v>
      </c>
      <c r="Y2" s="41" t="s">
        <v>21</v>
      </c>
      <c r="Z2" s="41" t="s">
        <v>19</v>
      </c>
      <c r="AA2" s="41" t="s">
        <v>20</v>
      </c>
      <c r="AB2" s="41" t="s">
        <v>21</v>
      </c>
      <c r="AC2" s="41" t="s">
        <v>19</v>
      </c>
      <c r="AD2" s="41" t="s">
        <v>20</v>
      </c>
      <c r="AE2" s="41" t="s">
        <v>21</v>
      </c>
      <c r="AF2" s="41" t="s">
        <v>19</v>
      </c>
      <c r="AG2" s="41" t="s">
        <v>20</v>
      </c>
      <c r="AH2" s="41" t="s">
        <v>21</v>
      </c>
      <c r="AI2" s="41" t="s">
        <v>19</v>
      </c>
      <c r="AJ2" s="41" t="s">
        <v>20</v>
      </c>
      <c r="AK2" s="41" t="s">
        <v>21</v>
      </c>
      <c r="AL2" s="41" t="s">
        <v>19</v>
      </c>
      <c r="AM2" s="41" t="s">
        <v>20</v>
      </c>
      <c r="AN2" s="41" t="s">
        <v>21</v>
      </c>
      <c r="AO2" s="41" t="s">
        <v>19</v>
      </c>
      <c r="AP2" s="41" t="s">
        <v>20</v>
      </c>
      <c r="AQ2" s="41" t="s">
        <v>21</v>
      </c>
      <c r="AR2" s="41" t="s">
        <v>19</v>
      </c>
      <c r="AS2" s="41" t="s">
        <v>20</v>
      </c>
      <c r="AT2" s="41" t="s">
        <v>21</v>
      </c>
      <c r="AU2" s="41" t="s">
        <v>19</v>
      </c>
      <c r="AV2" s="41" t="s">
        <v>20</v>
      </c>
      <c r="AW2" s="41" t="s">
        <v>21</v>
      </c>
      <c r="AX2" s="41" t="s">
        <v>19</v>
      </c>
      <c r="AY2" s="41" t="s">
        <v>20</v>
      </c>
      <c r="AZ2" s="41" t="s">
        <v>21</v>
      </c>
      <c r="BA2" s="41" t="s">
        <v>19</v>
      </c>
      <c r="BB2" s="41" t="s">
        <v>20</v>
      </c>
      <c r="BC2" s="41" t="s">
        <v>21</v>
      </c>
    </row>
    <row r="3" spans="1:55" ht="15.6" x14ac:dyDescent="0.3">
      <c r="A3" s="44" t="s">
        <v>23</v>
      </c>
      <c r="B3" s="64"/>
      <c r="C3" s="64"/>
      <c r="D3" s="64"/>
      <c r="E3" s="64">
        <v>0.50900000000000001</v>
      </c>
      <c r="F3" s="64">
        <v>1.77</v>
      </c>
      <c r="G3" s="64">
        <f>F3/E3</f>
        <v>3.4774066797642438</v>
      </c>
      <c r="H3" s="64">
        <v>209.35</v>
      </c>
      <c r="I3" s="64">
        <v>992.9</v>
      </c>
      <c r="J3" s="64">
        <f>I3/H3</f>
        <v>4.7427752567470742</v>
      </c>
      <c r="K3" s="64">
        <v>19.18</v>
      </c>
      <c r="L3" s="64">
        <v>79.73</v>
      </c>
      <c r="M3" s="64">
        <f>L3/K3</f>
        <v>4.1569343065693429</v>
      </c>
      <c r="N3" s="64"/>
      <c r="O3" s="64"/>
      <c r="P3" s="64"/>
      <c r="Q3" s="64"/>
      <c r="R3" s="64"/>
      <c r="S3" s="64"/>
      <c r="T3" s="64">
        <v>4.3</v>
      </c>
      <c r="U3" s="64">
        <v>2.37</v>
      </c>
      <c r="V3" s="64">
        <f>U3/T3</f>
        <v>0.55116279069767449</v>
      </c>
      <c r="W3" s="64"/>
      <c r="X3" s="64"/>
      <c r="Y3" s="64"/>
      <c r="Z3" s="64"/>
      <c r="AA3" s="64"/>
      <c r="AB3" s="64"/>
      <c r="AC3" s="64"/>
      <c r="AD3" s="64"/>
      <c r="AE3" s="64"/>
      <c r="AF3" s="64">
        <v>8.32</v>
      </c>
      <c r="AG3" s="64">
        <v>2.6</v>
      </c>
      <c r="AH3" s="64">
        <f>AG3/AF3</f>
        <v>0.3125</v>
      </c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>
        <v>4.67</v>
      </c>
      <c r="AV3" s="64">
        <v>20.350000000000001</v>
      </c>
      <c r="AW3" s="64">
        <f>AV3/AU3</f>
        <v>4.357601713062099</v>
      </c>
      <c r="AX3" s="64">
        <v>0.11</v>
      </c>
      <c r="AY3" s="64">
        <v>0.04</v>
      </c>
      <c r="AZ3" s="64">
        <f>AY3/AX3</f>
        <v>0.36363636363636365</v>
      </c>
      <c r="BA3" s="65">
        <f t="shared" ref="BA3:BB31" si="0">B3+E3+H3+K3+N3+Q3+T3+W3+Z3+AC3+AF3+AI3+AL3+AO3+AR3+AU3+AX3</f>
        <v>246.43899999999999</v>
      </c>
      <c r="BB3" s="65">
        <f t="shared" si="0"/>
        <v>1099.7599999999995</v>
      </c>
      <c r="BC3" s="9">
        <f>BB3/BA3</f>
        <v>4.4626053506141465</v>
      </c>
    </row>
    <row r="4" spans="1:55" ht="15.6" x14ac:dyDescent="0.3">
      <c r="A4" s="66" t="s">
        <v>24</v>
      </c>
      <c r="B4" s="64"/>
      <c r="C4" s="64"/>
      <c r="D4" s="64"/>
      <c r="E4" s="64">
        <v>7.65</v>
      </c>
      <c r="F4" s="64">
        <v>56.58</v>
      </c>
      <c r="G4" s="64">
        <f t="shared" ref="G4:G32" si="1">F4/E4</f>
        <v>7.3960784313725485</v>
      </c>
      <c r="H4" s="64">
        <v>2.96</v>
      </c>
      <c r="I4" s="64">
        <v>8.2899999999999991</v>
      </c>
      <c r="J4" s="64">
        <f t="shared" ref="J4:J32" si="2">I4/H4</f>
        <v>2.8006756756756754</v>
      </c>
      <c r="K4" s="64">
        <v>0.8</v>
      </c>
      <c r="L4" s="64">
        <v>3.84</v>
      </c>
      <c r="M4" s="64">
        <f t="shared" ref="M4:M32" si="3">L4/K4</f>
        <v>4.8</v>
      </c>
      <c r="N4" s="64">
        <v>0.03</v>
      </c>
      <c r="O4" s="64">
        <v>0.01</v>
      </c>
      <c r="P4" s="64">
        <f t="shared" ref="P4:P32" si="4">O4/N4</f>
        <v>0.33333333333333337</v>
      </c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5">
        <f t="shared" si="0"/>
        <v>11.44</v>
      </c>
      <c r="BB4" s="65">
        <f t="shared" si="0"/>
        <v>68.720000000000013</v>
      </c>
      <c r="BC4" s="9">
        <f t="shared" ref="BC4:BC32" si="5">BB4/BA4</f>
        <v>6.0069930069930084</v>
      </c>
    </row>
    <row r="5" spans="1:55" ht="15.6" x14ac:dyDescent="0.3">
      <c r="A5" s="44" t="s">
        <v>25</v>
      </c>
      <c r="B5" s="64">
        <v>3.91</v>
      </c>
      <c r="C5" s="64">
        <v>2.66</v>
      </c>
      <c r="D5" s="64">
        <f>C5/B5</f>
        <v>0.68030690537084404</v>
      </c>
      <c r="E5" s="64">
        <v>18.733000000000001</v>
      </c>
      <c r="F5" s="64">
        <v>166.54</v>
      </c>
      <c r="G5" s="64">
        <f t="shared" si="1"/>
        <v>8.8901937756899585</v>
      </c>
      <c r="H5" s="64">
        <v>21.63</v>
      </c>
      <c r="I5" s="64">
        <v>19.38</v>
      </c>
      <c r="J5" s="64">
        <f t="shared" si="2"/>
        <v>0.89597780859916787</v>
      </c>
      <c r="K5" s="64">
        <v>17.059999999999999</v>
      </c>
      <c r="L5" s="64">
        <v>17.03</v>
      </c>
      <c r="M5" s="64">
        <f t="shared" si="3"/>
        <v>0.99824150058616656</v>
      </c>
      <c r="N5" s="64">
        <v>29.71</v>
      </c>
      <c r="O5" s="64">
        <v>56.01</v>
      </c>
      <c r="P5" s="64">
        <f t="shared" si="4"/>
        <v>1.8852238303601481</v>
      </c>
      <c r="Q5" s="64"/>
      <c r="R5" s="64"/>
      <c r="S5" s="64"/>
      <c r="T5" s="64">
        <v>28.95</v>
      </c>
      <c r="U5" s="64">
        <v>29.68</v>
      </c>
      <c r="V5" s="64">
        <f t="shared" ref="V5:V32" si="6">U5/T5</f>
        <v>1.0252158894645942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5">
        <f t="shared" si="0"/>
        <v>119.99300000000001</v>
      </c>
      <c r="BB5" s="65">
        <f t="shared" si="0"/>
        <v>291.3</v>
      </c>
      <c r="BC5" s="9">
        <f t="shared" si="5"/>
        <v>2.4276416124273914</v>
      </c>
    </row>
    <row r="6" spans="1:55" ht="15.6" x14ac:dyDescent="0.3">
      <c r="A6" s="44" t="s">
        <v>26</v>
      </c>
      <c r="B6" s="64"/>
      <c r="C6" s="64"/>
      <c r="D6" s="64"/>
      <c r="E6" s="64">
        <v>0.316</v>
      </c>
      <c r="F6" s="64">
        <v>0.59</v>
      </c>
      <c r="G6" s="64">
        <f t="shared" si="1"/>
        <v>1.8670886075949367</v>
      </c>
      <c r="H6" s="64">
        <v>1.6</v>
      </c>
      <c r="I6" s="64">
        <v>2.0499999999999998</v>
      </c>
      <c r="J6" s="64">
        <f t="shared" si="2"/>
        <v>1.2812499999999998</v>
      </c>
      <c r="K6" s="64">
        <v>2.44</v>
      </c>
      <c r="L6" s="64">
        <v>2.63</v>
      </c>
      <c r="M6" s="64">
        <f t="shared" si="3"/>
        <v>1.0778688524590163</v>
      </c>
      <c r="N6" s="64">
        <v>1.95</v>
      </c>
      <c r="O6" s="64">
        <v>2.94</v>
      </c>
      <c r="P6" s="64">
        <f t="shared" si="4"/>
        <v>1.5076923076923077</v>
      </c>
      <c r="Q6" s="64"/>
      <c r="R6" s="64"/>
      <c r="S6" s="64"/>
      <c r="T6" s="64">
        <v>2.57</v>
      </c>
      <c r="U6" s="64">
        <v>2.36</v>
      </c>
      <c r="V6" s="64">
        <f t="shared" si="6"/>
        <v>0.91828793774319062</v>
      </c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5">
        <f t="shared" si="0"/>
        <v>8.8759999999999994</v>
      </c>
      <c r="BB6" s="65">
        <f t="shared" si="0"/>
        <v>10.569999999999999</v>
      </c>
      <c r="BC6" s="9">
        <f t="shared" si="5"/>
        <v>1.1908517350157728</v>
      </c>
    </row>
    <row r="7" spans="1:55" ht="15.6" x14ac:dyDescent="0.3">
      <c r="A7" s="44" t="s">
        <v>53</v>
      </c>
      <c r="B7" s="64"/>
      <c r="C7" s="64"/>
      <c r="D7" s="64"/>
      <c r="E7" s="64">
        <v>1.837</v>
      </c>
      <c r="F7" s="64">
        <v>2.21</v>
      </c>
      <c r="G7" s="64">
        <f t="shared" si="1"/>
        <v>1.2030484485574306</v>
      </c>
      <c r="H7" s="64">
        <v>5.0599999999999996</v>
      </c>
      <c r="I7" s="64">
        <v>4.32</v>
      </c>
      <c r="J7" s="64">
        <f t="shared" si="2"/>
        <v>0.85375494071146252</v>
      </c>
      <c r="K7" s="64">
        <v>1.08</v>
      </c>
      <c r="L7" s="64">
        <v>1</v>
      </c>
      <c r="M7" s="64">
        <f t="shared" si="3"/>
        <v>0.92592592592592582</v>
      </c>
      <c r="N7" s="64">
        <v>1.3</v>
      </c>
      <c r="O7" s="64">
        <v>3.5</v>
      </c>
      <c r="P7" s="64">
        <f t="shared" si="4"/>
        <v>2.6923076923076921</v>
      </c>
      <c r="Q7" s="64"/>
      <c r="R7" s="64"/>
      <c r="S7" s="64"/>
      <c r="T7" s="64">
        <v>2.57</v>
      </c>
      <c r="U7" s="64">
        <v>0.76</v>
      </c>
      <c r="V7" s="64">
        <f t="shared" si="6"/>
        <v>0.29571984435797666</v>
      </c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5">
        <f t="shared" si="0"/>
        <v>11.847</v>
      </c>
      <c r="BB7" s="65">
        <f t="shared" si="0"/>
        <v>11.790000000000001</v>
      </c>
      <c r="BC7" s="9">
        <f t="shared" si="5"/>
        <v>0.99518865535578638</v>
      </c>
    </row>
    <row r="8" spans="1:55" ht="15.6" x14ac:dyDescent="0.3">
      <c r="A8" s="44" t="s">
        <v>29</v>
      </c>
      <c r="B8" s="64"/>
      <c r="C8" s="64"/>
      <c r="D8" s="64"/>
      <c r="E8" s="64">
        <v>6.5</v>
      </c>
      <c r="F8" s="64">
        <v>100.5</v>
      </c>
      <c r="G8" s="64">
        <f t="shared" si="1"/>
        <v>15.461538461538462</v>
      </c>
      <c r="H8" s="64">
        <v>15.2</v>
      </c>
      <c r="I8" s="64">
        <v>25.32</v>
      </c>
      <c r="J8" s="64">
        <f t="shared" si="2"/>
        <v>1.6657894736842107</v>
      </c>
      <c r="K8" s="64">
        <v>4.0999999999999996</v>
      </c>
      <c r="L8" s="64">
        <v>65.5</v>
      </c>
      <c r="M8" s="64">
        <f t="shared" si="3"/>
        <v>15.975609756097562</v>
      </c>
      <c r="N8" s="64">
        <v>10.1</v>
      </c>
      <c r="O8" s="64">
        <v>79.150000000000006</v>
      </c>
      <c r="P8" s="64">
        <f t="shared" si="4"/>
        <v>7.8366336633663378</v>
      </c>
      <c r="Q8" s="64"/>
      <c r="R8" s="64"/>
      <c r="S8" s="64"/>
      <c r="T8" s="64">
        <v>121.1</v>
      </c>
      <c r="U8" s="64">
        <v>189.75</v>
      </c>
      <c r="V8" s="64">
        <f t="shared" si="6"/>
        <v>1.5668868703550785</v>
      </c>
      <c r="W8" s="64">
        <v>278.7</v>
      </c>
      <c r="X8" s="64">
        <v>284</v>
      </c>
      <c r="Y8" s="64">
        <f>X8/W8</f>
        <v>1.0190168640114818</v>
      </c>
      <c r="Z8" s="64">
        <v>40.9</v>
      </c>
      <c r="AA8" s="64">
        <v>87.21</v>
      </c>
      <c r="AB8" s="64">
        <f>AA8/Z8</f>
        <v>2.1322738386308067</v>
      </c>
      <c r="AC8" s="64">
        <v>7</v>
      </c>
      <c r="AD8" s="64">
        <v>15</v>
      </c>
      <c r="AE8" s="64">
        <f>AD8/AC8</f>
        <v>2.1428571428571428</v>
      </c>
      <c r="AF8" s="64">
        <v>1.6</v>
      </c>
      <c r="AG8" s="64">
        <v>1.5</v>
      </c>
      <c r="AH8" s="64">
        <f t="shared" ref="AH8:AH32" si="7">AG8/AF8</f>
        <v>0.9375</v>
      </c>
      <c r="AI8" s="64">
        <v>17.100000000000001</v>
      </c>
      <c r="AJ8" s="64">
        <v>20.14</v>
      </c>
      <c r="AK8" s="64">
        <f>AJ8/AI8</f>
        <v>1.1777777777777778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5">
        <f t="shared" si="0"/>
        <v>502.3</v>
      </c>
      <c r="BB8" s="65">
        <f t="shared" si="0"/>
        <v>868.07</v>
      </c>
      <c r="BC8" s="9">
        <f t="shared" si="5"/>
        <v>1.7281903245072667</v>
      </c>
    </row>
    <row r="9" spans="1:55" ht="15.6" x14ac:dyDescent="0.3">
      <c r="A9" s="44" t="s">
        <v>30</v>
      </c>
      <c r="B9" s="64"/>
      <c r="C9" s="64"/>
      <c r="D9" s="64"/>
      <c r="E9" s="64">
        <v>0.5</v>
      </c>
      <c r="F9" s="64">
        <v>6</v>
      </c>
      <c r="G9" s="64">
        <f t="shared" si="1"/>
        <v>12</v>
      </c>
      <c r="H9" s="64">
        <v>2.2000000000000002</v>
      </c>
      <c r="I9" s="64">
        <v>4</v>
      </c>
      <c r="J9" s="64">
        <f t="shared" si="2"/>
        <v>1.8181818181818181</v>
      </c>
      <c r="K9" s="64">
        <v>1.5</v>
      </c>
      <c r="L9" s="64">
        <v>22</v>
      </c>
      <c r="M9" s="64">
        <f t="shared" si="3"/>
        <v>14.666666666666666</v>
      </c>
      <c r="N9" s="64">
        <v>5</v>
      </c>
      <c r="O9" s="64">
        <v>32</v>
      </c>
      <c r="P9" s="64">
        <f t="shared" si="4"/>
        <v>6.4</v>
      </c>
      <c r="Q9" s="64"/>
      <c r="R9" s="64"/>
      <c r="S9" s="64"/>
      <c r="T9" s="64">
        <v>2.4500000000000002</v>
      </c>
      <c r="U9" s="64">
        <v>4.45</v>
      </c>
      <c r="V9" s="64">
        <f t="shared" si="6"/>
        <v>1.8163265306122449</v>
      </c>
      <c r="W9" s="64"/>
      <c r="X9" s="64"/>
      <c r="Y9" s="64"/>
      <c r="Z9" s="64">
        <v>0.3</v>
      </c>
      <c r="AA9" s="64">
        <v>0.2</v>
      </c>
      <c r="AB9" s="64">
        <f t="shared" ref="AB9:AB32" si="8">AA9/Z9</f>
        <v>0.66666666666666674</v>
      </c>
      <c r="AC9" s="64">
        <v>5.0999999999999996</v>
      </c>
      <c r="AD9" s="64">
        <v>9.15</v>
      </c>
      <c r="AE9" s="64">
        <f t="shared" ref="AE9:AE32" si="9">AD9/AC9</f>
        <v>1.7941176470588238</v>
      </c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5">
        <f t="shared" si="0"/>
        <v>17.049999999999997</v>
      </c>
      <c r="BB9" s="65">
        <f t="shared" si="0"/>
        <v>77.800000000000011</v>
      </c>
      <c r="BC9" s="9">
        <f t="shared" si="5"/>
        <v>4.5630498533724353</v>
      </c>
    </row>
    <row r="10" spans="1:55" ht="15.6" x14ac:dyDescent="0.3">
      <c r="A10" s="44" t="s">
        <v>31</v>
      </c>
      <c r="B10" s="64"/>
      <c r="C10" s="64"/>
      <c r="D10" s="64"/>
      <c r="E10" s="64">
        <v>2.2759999999999998</v>
      </c>
      <c r="F10" s="64">
        <v>14.5</v>
      </c>
      <c r="G10" s="64">
        <f t="shared" si="1"/>
        <v>6.3708260105448158</v>
      </c>
      <c r="H10" s="64">
        <v>0.6</v>
      </c>
      <c r="I10" s="64">
        <v>0.24</v>
      </c>
      <c r="J10" s="64">
        <f t="shared" si="2"/>
        <v>0.4</v>
      </c>
      <c r="K10" s="64">
        <v>0.2</v>
      </c>
      <c r="L10" s="64">
        <v>0.11</v>
      </c>
      <c r="M10" s="64">
        <f t="shared" si="3"/>
        <v>0.54999999999999993</v>
      </c>
      <c r="N10" s="64">
        <v>4.43</v>
      </c>
      <c r="O10" s="64">
        <v>7.72</v>
      </c>
      <c r="P10" s="64">
        <f t="shared" si="4"/>
        <v>1.7426636568848759</v>
      </c>
      <c r="Q10" s="64"/>
      <c r="R10" s="64"/>
      <c r="S10" s="64"/>
      <c r="T10" s="64">
        <v>0.12</v>
      </c>
      <c r="U10" s="64">
        <v>0.19</v>
      </c>
      <c r="V10" s="64">
        <f t="shared" si="6"/>
        <v>1.5833333333333335</v>
      </c>
      <c r="W10" s="64">
        <v>0.08</v>
      </c>
      <c r="X10" s="64">
        <v>0.02</v>
      </c>
      <c r="Y10" s="64">
        <f t="shared" ref="Y10:Y32" si="10">X10/W10</f>
        <v>0.25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5">
        <f t="shared" si="0"/>
        <v>7.7060000000000004</v>
      </c>
      <c r="BB10" s="65">
        <f t="shared" si="0"/>
        <v>22.78</v>
      </c>
      <c r="BC10" s="9">
        <f t="shared" si="5"/>
        <v>2.9561380742278742</v>
      </c>
    </row>
    <row r="11" spans="1:55" ht="15.6" x14ac:dyDescent="0.3">
      <c r="A11" s="44" t="s">
        <v>32</v>
      </c>
      <c r="B11" s="64"/>
      <c r="C11" s="64"/>
      <c r="D11" s="64"/>
      <c r="E11" s="64">
        <v>2.1000000000000001E-2</v>
      </c>
      <c r="F11" s="64">
        <v>0.03</v>
      </c>
      <c r="G11" s="64">
        <f t="shared" si="1"/>
        <v>1.4285714285714284</v>
      </c>
      <c r="H11" s="64">
        <v>0.62</v>
      </c>
      <c r="I11" s="64">
        <v>0.35</v>
      </c>
      <c r="J11" s="64">
        <f t="shared" si="2"/>
        <v>0.56451612903225801</v>
      </c>
      <c r="K11" s="64">
        <v>0.01</v>
      </c>
      <c r="L11" s="64">
        <v>0.01</v>
      </c>
      <c r="M11" s="64">
        <f t="shared" si="3"/>
        <v>1</v>
      </c>
      <c r="N11" s="64">
        <v>0.71</v>
      </c>
      <c r="O11" s="64">
        <v>0.56000000000000005</v>
      </c>
      <c r="P11" s="64">
        <f t="shared" si="4"/>
        <v>0.78873239436619724</v>
      </c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>
        <v>3.56</v>
      </c>
      <c r="AY11" s="64">
        <v>0.01</v>
      </c>
      <c r="AZ11" s="64">
        <f t="shared" ref="AZ11:AZ32" si="11">AY11/AX11</f>
        <v>2.8089887640449437E-3</v>
      </c>
      <c r="BA11" s="65">
        <f t="shared" si="0"/>
        <v>4.9210000000000003</v>
      </c>
      <c r="BB11" s="65">
        <f t="shared" si="0"/>
        <v>0.96000000000000008</v>
      </c>
      <c r="BC11" s="9">
        <f t="shared" si="5"/>
        <v>0.19508230034545823</v>
      </c>
    </row>
    <row r="12" spans="1:55" ht="15.6" x14ac:dyDescent="0.3">
      <c r="A12" s="44" t="s">
        <v>33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5">
        <f t="shared" si="0"/>
        <v>0</v>
      </c>
      <c r="BB12" s="65">
        <f t="shared" si="0"/>
        <v>0</v>
      </c>
      <c r="BC12" s="9" t="e">
        <f t="shared" si="5"/>
        <v>#DIV/0!</v>
      </c>
    </row>
    <row r="13" spans="1:55" ht="15.6" x14ac:dyDescent="0.3">
      <c r="A13" s="44" t="s">
        <v>34</v>
      </c>
      <c r="B13" s="64">
        <v>34.99</v>
      </c>
      <c r="C13" s="64">
        <v>26.77</v>
      </c>
      <c r="D13" s="64">
        <f t="shared" ref="D13:D32" si="12">C13/B13</f>
        <v>0.7650757359245498</v>
      </c>
      <c r="E13" s="64">
        <v>29.285</v>
      </c>
      <c r="F13" s="64">
        <v>109.34</v>
      </c>
      <c r="G13" s="64">
        <f t="shared" si="1"/>
        <v>3.7336520402936659</v>
      </c>
      <c r="H13" s="64">
        <v>102.29</v>
      </c>
      <c r="I13" s="64">
        <v>103.24</v>
      </c>
      <c r="J13" s="64">
        <f t="shared" si="2"/>
        <v>1.0092873203636719</v>
      </c>
      <c r="K13" s="64">
        <v>14.99</v>
      </c>
      <c r="L13" s="64">
        <v>76.489999999999995</v>
      </c>
      <c r="M13" s="64">
        <f t="shared" si="3"/>
        <v>5.1027351567711801</v>
      </c>
      <c r="N13" s="64">
        <v>4.66</v>
      </c>
      <c r="O13" s="64">
        <v>6.28</v>
      </c>
      <c r="P13" s="64">
        <f t="shared" si="4"/>
        <v>1.3476394849785407</v>
      </c>
      <c r="Q13" s="64">
        <v>17.66</v>
      </c>
      <c r="R13" s="64">
        <v>1.53</v>
      </c>
      <c r="S13" s="64">
        <f>R13/Q13</f>
        <v>8.6636466591166472E-2</v>
      </c>
      <c r="T13" s="64">
        <v>4.49</v>
      </c>
      <c r="U13" s="64">
        <v>1.93</v>
      </c>
      <c r="V13" s="64">
        <f t="shared" si="6"/>
        <v>0.42984409799554563</v>
      </c>
      <c r="W13" s="64"/>
      <c r="X13" s="64"/>
      <c r="Y13" s="64"/>
      <c r="Z13" s="64"/>
      <c r="AA13" s="64"/>
      <c r="AB13" s="64"/>
      <c r="AC13" s="64">
        <v>0.5</v>
      </c>
      <c r="AD13" s="64">
        <v>1</v>
      </c>
      <c r="AE13" s="64">
        <f t="shared" si="9"/>
        <v>2</v>
      </c>
      <c r="AF13" s="64"/>
      <c r="AG13" s="64"/>
      <c r="AH13" s="64"/>
      <c r="AI13" s="64">
        <v>0.4</v>
      </c>
      <c r="AJ13" s="64">
        <v>1.75</v>
      </c>
      <c r="AK13" s="64">
        <f t="shared" ref="AK13:AK32" si="13">AJ13/AI13</f>
        <v>4.375</v>
      </c>
      <c r="AL13" s="64">
        <v>0.03</v>
      </c>
      <c r="AM13" s="64">
        <v>0.01</v>
      </c>
      <c r="AN13" s="64">
        <f>AM13/AL13</f>
        <v>0.33333333333333337</v>
      </c>
      <c r="AO13" s="64">
        <v>0.3</v>
      </c>
      <c r="AP13" s="64">
        <v>0.2</v>
      </c>
      <c r="AQ13" s="64">
        <f>AP13/AO13</f>
        <v>0.66666666666666674</v>
      </c>
      <c r="AR13" s="64">
        <v>0.12</v>
      </c>
      <c r="AS13" s="64">
        <v>0.17</v>
      </c>
      <c r="AT13" s="64">
        <f>AS13/AR13</f>
        <v>1.4166666666666667</v>
      </c>
      <c r="AU13" s="64">
        <v>15</v>
      </c>
      <c r="AV13" s="64">
        <v>70.5</v>
      </c>
      <c r="AW13" s="64">
        <f t="shared" ref="AW13:AW32" si="14">AV13/AU13</f>
        <v>4.7</v>
      </c>
      <c r="AX13" s="64">
        <v>0.69</v>
      </c>
      <c r="AY13" s="64">
        <v>0.23</v>
      </c>
      <c r="AZ13" s="64">
        <f t="shared" si="11"/>
        <v>0.33333333333333337</v>
      </c>
      <c r="BA13" s="65">
        <f t="shared" si="0"/>
        <v>225.40500000000003</v>
      </c>
      <c r="BB13" s="65">
        <f t="shared" si="0"/>
        <v>399.44</v>
      </c>
      <c r="BC13" s="9">
        <f t="shared" si="5"/>
        <v>1.7720991104900066</v>
      </c>
    </row>
    <row r="14" spans="1:55" ht="15.6" x14ac:dyDescent="0.3">
      <c r="A14" s="44" t="s">
        <v>35</v>
      </c>
      <c r="B14" s="64">
        <v>86.14</v>
      </c>
      <c r="C14" s="64">
        <v>40.369999999999997</v>
      </c>
      <c r="D14" s="64">
        <f t="shared" si="12"/>
        <v>0.46865567680520082</v>
      </c>
      <c r="E14" s="64">
        <v>4.9749999999999996</v>
      </c>
      <c r="F14" s="64">
        <v>21.27</v>
      </c>
      <c r="G14" s="64">
        <f t="shared" si="1"/>
        <v>4.2753768844221112</v>
      </c>
      <c r="H14" s="64">
        <v>1.71</v>
      </c>
      <c r="I14" s="64">
        <v>1.6</v>
      </c>
      <c r="J14" s="64">
        <f t="shared" si="2"/>
        <v>0.9356725146198831</v>
      </c>
      <c r="K14" s="64">
        <v>2.58</v>
      </c>
      <c r="L14" s="64">
        <v>6.83</v>
      </c>
      <c r="M14" s="64">
        <f t="shared" si="3"/>
        <v>2.6472868217054262</v>
      </c>
      <c r="N14" s="64">
        <v>0.76</v>
      </c>
      <c r="O14" s="64">
        <v>0.37</v>
      </c>
      <c r="P14" s="64">
        <f t="shared" si="4"/>
        <v>0.48684210526315791</v>
      </c>
      <c r="Q14" s="64">
        <v>38</v>
      </c>
      <c r="R14" s="64">
        <v>18</v>
      </c>
      <c r="S14" s="64">
        <f t="shared" ref="S14:S32" si="15">R14/Q14</f>
        <v>0.47368421052631576</v>
      </c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>
        <v>0.12</v>
      </c>
      <c r="AM14" s="64"/>
      <c r="AN14" s="64">
        <f t="shared" ref="AN14:AN32" si="16">AM14/AL14</f>
        <v>0</v>
      </c>
      <c r="AO14" s="64">
        <v>22.5</v>
      </c>
      <c r="AP14" s="64">
        <v>15.2</v>
      </c>
      <c r="AQ14" s="64">
        <f t="shared" ref="AQ14:AQ32" si="17">AP14/AO14</f>
        <v>0.67555555555555558</v>
      </c>
      <c r="AR14" s="64">
        <v>1.08</v>
      </c>
      <c r="AS14" s="64">
        <v>0.08</v>
      </c>
      <c r="AT14" s="64">
        <f t="shared" ref="AT14:AT32" si="18">AS14/AR14</f>
        <v>7.407407407407407E-2</v>
      </c>
      <c r="AU14" s="64">
        <v>11</v>
      </c>
      <c r="AV14" s="64">
        <v>38.25</v>
      </c>
      <c r="AW14" s="64">
        <f t="shared" si="14"/>
        <v>3.4772727272727271</v>
      </c>
      <c r="AX14" s="64">
        <v>0.12</v>
      </c>
      <c r="AY14" s="64">
        <v>0.04</v>
      </c>
      <c r="AZ14" s="64">
        <f t="shared" si="11"/>
        <v>0.33333333333333337</v>
      </c>
      <c r="BA14" s="65">
        <f t="shared" si="0"/>
        <v>168.98500000000001</v>
      </c>
      <c r="BB14" s="65">
        <f t="shared" si="0"/>
        <v>142.01000000000002</v>
      </c>
      <c r="BC14" s="9">
        <f t="shared" si="5"/>
        <v>0.84037044708110187</v>
      </c>
    </row>
    <row r="15" spans="1:55" ht="15.6" x14ac:dyDescent="0.3">
      <c r="A15" s="44" t="s">
        <v>36</v>
      </c>
      <c r="B15" s="64"/>
      <c r="C15" s="64"/>
      <c r="D15" s="64"/>
      <c r="E15" s="64">
        <v>12.5</v>
      </c>
      <c r="F15" s="64">
        <v>20.2</v>
      </c>
      <c r="G15" s="64">
        <f t="shared" si="1"/>
        <v>1.6159999999999999</v>
      </c>
      <c r="H15" s="64">
        <v>85</v>
      </c>
      <c r="I15" s="64">
        <v>135.53</v>
      </c>
      <c r="J15" s="64">
        <f t="shared" si="2"/>
        <v>1.5944705882352941</v>
      </c>
      <c r="K15" s="64">
        <v>1.65</v>
      </c>
      <c r="L15" s="64">
        <v>1.61</v>
      </c>
      <c r="M15" s="64">
        <f t="shared" si="3"/>
        <v>0.97575757575757582</v>
      </c>
      <c r="N15" s="67">
        <v>92.5</v>
      </c>
      <c r="O15" s="67">
        <v>405</v>
      </c>
      <c r="P15" s="64">
        <f t="shared" si="4"/>
        <v>4.3783783783783781</v>
      </c>
      <c r="Q15" s="64"/>
      <c r="R15" s="64"/>
      <c r="S15" s="64"/>
      <c r="T15" s="64">
        <v>273.77999999999997</v>
      </c>
      <c r="U15" s="64">
        <v>396.01</v>
      </c>
      <c r="V15" s="64">
        <f t="shared" si="6"/>
        <v>1.446453356709767</v>
      </c>
      <c r="W15" s="64">
        <v>0.33</v>
      </c>
      <c r="X15" s="64">
        <v>0.45</v>
      </c>
      <c r="Y15" s="64">
        <f t="shared" si="10"/>
        <v>1.3636363636363635</v>
      </c>
      <c r="Z15" s="64">
        <v>2.72</v>
      </c>
      <c r="AA15" s="64">
        <v>7.37</v>
      </c>
      <c r="AB15" s="64">
        <f t="shared" si="8"/>
        <v>2.7095588235294117</v>
      </c>
      <c r="AC15" s="64">
        <v>52.01</v>
      </c>
      <c r="AD15" s="64">
        <v>105.07</v>
      </c>
      <c r="AE15" s="64">
        <f t="shared" si="9"/>
        <v>2.0201884253028264</v>
      </c>
      <c r="AF15" s="64">
        <v>4.0999999999999996</v>
      </c>
      <c r="AG15" s="64">
        <v>6.65</v>
      </c>
      <c r="AH15" s="64">
        <f t="shared" si="7"/>
        <v>1.6219512195121955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5">
        <f t="shared" si="0"/>
        <v>524.59</v>
      </c>
      <c r="BB15" s="65">
        <f t="shared" si="0"/>
        <v>1077.8900000000001</v>
      </c>
      <c r="BC15" s="9">
        <f t="shared" si="5"/>
        <v>2.0547284546026421</v>
      </c>
    </row>
    <row r="16" spans="1:55" ht="15.6" x14ac:dyDescent="0.3">
      <c r="A16" s="44" t="s">
        <v>37</v>
      </c>
      <c r="B16" s="64">
        <v>0.09</v>
      </c>
      <c r="C16" s="64">
        <v>0.11</v>
      </c>
      <c r="D16" s="64">
        <f t="shared" si="12"/>
        <v>1.2222222222222223</v>
      </c>
      <c r="E16" s="64">
        <v>8.5259999999999998</v>
      </c>
      <c r="F16" s="64">
        <v>125.49</v>
      </c>
      <c r="G16" s="64">
        <f t="shared" si="1"/>
        <v>14.718508092892328</v>
      </c>
      <c r="H16" s="64">
        <v>17.32</v>
      </c>
      <c r="I16" s="64">
        <v>35.880000000000003</v>
      </c>
      <c r="J16" s="64">
        <f t="shared" si="2"/>
        <v>2.0715935334872979</v>
      </c>
      <c r="K16" s="64">
        <v>10.71</v>
      </c>
      <c r="L16" s="64">
        <v>177.85</v>
      </c>
      <c r="M16" s="64">
        <f t="shared" si="3"/>
        <v>16.60597572362278</v>
      </c>
      <c r="N16" s="64">
        <v>2.4500000000000002</v>
      </c>
      <c r="O16" s="64">
        <v>14.31</v>
      </c>
      <c r="P16" s="64">
        <f t="shared" si="4"/>
        <v>5.8408163265306117</v>
      </c>
      <c r="Q16" s="64"/>
      <c r="R16" s="64"/>
      <c r="S16" s="64"/>
      <c r="T16" s="64">
        <v>1.71</v>
      </c>
      <c r="U16" s="64">
        <v>9.68</v>
      </c>
      <c r="V16" s="64">
        <f t="shared" si="6"/>
        <v>5.6608187134502925</v>
      </c>
      <c r="W16" s="64"/>
      <c r="X16" s="64"/>
      <c r="Y16" s="64"/>
      <c r="Z16" s="64"/>
      <c r="AA16" s="64"/>
      <c r="AB16" s="64"/>
      <c r="AC16" s="64">
        <v>0.24</v>
      </c>
      <c r="AD16" s="64">
        <v>1.21</v>
      </c>
      <c r="AE16" s="64">
        <f t="shared" si="9"/>
        <v>5.041666666666667</v>
      </c>
      <c r="AF16" s="64"/>
      <c r="AG16" s="64"/>
      <c r="AH16" s="64"/>
      <c r="AI16" s="64"/>
      <c r="AJ16" s="64"/>
      <c r="AK16" s="64"/>
      <c r="AL16" s="64">
        <v>0.03</v>
      </c>
      <c r="AM16" s="64">
        <v>0.03</v>
      </c>
      <c r="AN16" s="64">
        <f t="shared" si="16"/>
        <v>1</v>
      </c>
      <c r="AO16" s="64">
        <v>0.01</v>
      </c>
      <c r="AP16" s="64">
        <v>0.01</v>
      </c>
      <c r="AQ16" s="64">
        <f t="shared" si="17"/>
        <v>1</v>
      </c>
      <c r="AR16" s="64"/>
      <c r="AS16" s="64"/>
      <c r="AT16" s="64"/>
      <c r="AU16" s="64">
        <v>0.72</v>
      </c>
      <c r="AV16" s="64">
        <v>7.15</v>
      </c>
      <c r="AW16" s="64">
        <f t="shared" si="14"/>
        <v>9.9305555555555571</v>
      </c>
      <c r="AX16" s="64"/>
      <c r="AY16" s="64"/>
      <c r="AZ16" s="64"/>
      <c r="BA16" s="65">
        <f t="shared" si="0"/>
        <v>41.806000000000004</v>
      </c>
      <c r="BB16" s="65">
        <f t="shared" si="0"/>
        <v>371.71999999999991</v>
      </c>
      <c r="BC16" s="9">
        <f t="shared" si="5"/>
        <v>8.8915466679423982</v>
      </c>
    </row>
    <row r="17" spans="1:55" ht="15.6" x14ac:dyDescent="0.3">
      <c r="A17" s="51" t="s">
        <v>38</v>
      </c>
      <c r="B17" s="64"/>
      <c r="C17" s="64"/>
      <c r="D17" s="64"/>
      <c r="E17" s="64">
        <v>2.4</v>
      </c>
      <c r="F17" s="64">
        <v>3.84</v>
      </c>
      <c r="G17" s="64">
        <f t="shared" si="1"/>
        <v>1.6</v>
      </c>
      <c r="H17" s="64">
        <v>6.5</v>
      </c>
      <c r="I17" s="64">
        <v>3.9</v>
      </c>
      <c r="J17" s="64">
        <f t="shared" si="2"/>
        <v>0.6</v>
      </c>
      <c r="K17" s="64">
        <v>1.4</v>
      </c>
      <c r="L17" s="64">
        <v>15.4</v>
      </c>
      <c r="M17" s="64">
        <f t="shared" si="3"/>
        <v>11.000000000000002</v>
      </c>
      <c r="N17" s="64">
        <v>0.17</v>
      </c>
      <c r="O17" s="64"/>
      <c r="P17" s="64">
        <f t="shared" si="4"/>
        <v>0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5">
        <f t="shared" si="0"/>
        <v>10.47</v>
      </c>
      <c r="BB17" s="65">
        <f t="shared" si="0"/>
        <v>23.14</v>
      </c>
      <c r="BC17" s="9">
        <f t="shared" si="5"/>
        <v>2.2101241642788918</v>
      </c>
    </row>
    <row r="18" spans="1:55" ht="15.6" x14ac:dyDescent="0.3">
      <c r="A18" s="44" t="s">
        <v>39</v>
      </c>
      <c r="B18" s="64">
        <v>1.01</v>
      </c>
      <c r="C18" s="64">
        <v>0.76</v>
      </c>
      <c r="D18" s="64">
        <f t="shared" si="12"/>
        <v>0.75247524752475248</v>
      </c>
      <c r="E18" s="64">
        <v>9.9359999999999999</v>
      </c>
      <c r="F18" s="64">
        <v>66.37</v>
      </c>
      <c r="G18" s="64">
        <f t="shared" si="1"/>
        <v>6.6797504025764898</v>
      </c>
      <c r="H18" s="64">
        <v>2.3199999999999998</v>
      </c>
      <c r="I18" s="64">
        <v>2.2400000000000002</v>
      </c>
      <c r="J18" s="64">
        <f t="shared" si="2"/>
        <v>0.9655172413793105</v>
      </c>
      <c r="K18" s="64">
        <v>2.61</v>
      </c>
      <c r="L18" s="64">
        <v>16.63</v>
      </c>
      <c r="M18" s="64">
        <f t="shared" si="3"/>
        <v>6.3716475095785441</v>
      </c>
      <c r="N18" s="64">
        <v>0.28000000000000003</v>
      </c>
      <c r="O18" s="64">
        <v>1.1100000000000001</v>
      </c>
      <c r="P18" s="64">
        <f t="shared" si="4"/>
        <v>3.9642857142857144</v>
      </c>
      <c r="Q18" s="64"/>
      <c r="R18" s="64"/>
      <c r="S18" s="64"/>
      <c r="T18" s="64">
        <v>0.01</v>
      </c>
      <c r="U18" s="64">
        <v>0.05</v>
      </c>
      <c r="V18" s="64">
        <f t="shared" si="6"/>
        <v>5</v>
      </c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>
        <v>2.44</v>
      </c>
      <c r="AM18" s="64">
        <v>5</v>
      </c>
      <c r="AN18" s="64">
        <f t="shared" si="16"/>
        <v>2.0491803278688523</v>
      </c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5">
        <f t="shared" si="0"/>
        <v>18.606000000000002</v>
      </c>
      <c r="BB18" s="65">
        <f t="shared" si="0"/>
        <v>92.16</v>
      </c>
      <c r="BC18" s="9">
        <f t="shared" si="5"/>
        <v>4.9532408900354721</v>
      </c>
    </row>
    <row r="19" spans="1:55" ht="15.6" x14ac:dyDescent="0.3">
      <c r="A19" s="44" t="s">
        <v>40</v>
      </c>
      <c r="B19" s="64">
        <v>7.0000000000000007E-2</v>
      </c>
      <c r="C19" s="64">
        <v>0</v>
      </c>
      <c r="D19" s="64">
        <f t="shared" si="12"/>
        <v>0</v>
      </c>
      <c r="E19" s="64">
        <v>8.2070000000000007</v>
      </c>
      <c r="F19" s="64">
        <v>59.99</v>
      </c>
      <c r="G19" s="64">
        <f t="shared" si="1"/>
        <v>7.3096137443645661</v>
      </c>
      <c r="H19" s="64">
        <v>9.24</v>
      </c>
      <c r="I19" s="64">
        <v>9.33</v>
      </c>
      <c r="J19" s="64">
        <f t="shared" si="2"/>
        <v>1.0097402597402598</v>
      </c>
      <c r="K19" s="64">
        <v>7.2</v>
      </c>
      <c r="L19" s="64">
        <v>27.82</v>
      </c>
      <c r="M19" s="64">
        <f t="shared" si="3"/>
        <v>3.8638888888888889</v>
      </c>
      <c r="N19" s="64">
        <v>0.02</v>
      </c>
      <c r="O19" s="64">
        <v>0.01</v>
      </c>
      <c r="P19" s="64">
        <f t="shared" si="4"/>
        <v>0.5</v>
      </c>
      <c r="Q19" s="64"/>
      <c r="R19" s="64"/>
      <c r="S19" s="64"/>
      <c r="T19" s="64">
        <v>0.06</v>
      </c>
      <c r="U19" s="64">
        <v>0.02</v>
      </c>
      <c r="V19" s="64">
        <f t="shared" si="6"/>
        <v>0.33333333333333337</v>
      </c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>
        <v>0.01</v>
      </c>
      <c r="AV19" s="64">
        <v>0.03</v>
      </c>
      <c r="AW19" s="64">
        <f t="shared" si="14"/>
        <v>3</v>
      </c>
      <c r="AX19" s="64"/>
      <c r="AY19" s="64"/>
      <c r="AZ19" s="64"/>
      <c r="BA19" s="65">
        <f t="shared" si="0"/>
        <v>24.807000000000002</v>
      </c>
      <c r="BB19" s="65">
        <f t="shared" si="0"/>
        <v>97.200000000000017</v>
      </c>
      <c r="BC19" s="9">
        <f t="shared" si="5"/>
        <v>3.9182488813641316</v>
      </c>
    </row>
    <row r="20" spans="1:55" ht="15.6" x14ac:dyDescent="0.3">
      <c r="A20" s="66" t="s">
        <v>41</v>
      </c>
      <c r="B20" s="64">
        <v>0.14000000000000001</v>
      </c>
      <c r="C20" s="64">
        <v>0.03</v>
      </c>
      <c r="D20" s="64">
        <f t="shared" si="12"/>
        <v>0.21428571428571425</v>
      </c>
      <c r="E20" s="64">
        <v>4.8410000000000002</v>
      </c>
      <c r="F20" s="64">
        <v>48.21</v>
      </c>
      <c r="G20" s="64">
        <f t="shared" si="1"/>
        <v>9.9586862218549879</v>
      </c>
      <c r="H20" s="64">
        <v>5.58</v>
      </c>
      <c r="I20" s="64">
        <v>40.89</v>
      </c>
      <c r="J20" s="64">
        <f t="shared" si="2"/>
        <v>7.327956989247312</v>
      </c>
      <c r="K20" s="64">
        <v>0.7</v>
      </c>
      <c r="L20" s="64">
        <v>10.72</v>
      </c>
      <c r="M20" s="64">
        <f t="shared" si="3"/>
        <v>15.314285714285717</v>
      </c>
      <c r="N20" s="64">
        <v>0.28999999999999998</v>
      </c>
      <c r="O20" s="64">
        <v>2.98</v>
      </c>
      <c r="P20" s="64">
        <f t="shared" si="4"/>
        <v>10.275862068965518</v>
      </c>
      <c r="Q20" s="64">
        <v>4.05</v>
      </c>
      <c r="R20" s="64">
        <v>2.02</v>
      </c>
      <c r="S20" s="64">
        <f t="shared" si="15"/>
        <v>0.49876543209876545</v>
      </c>
      <c r="T20" s="64">
        <v>0.09</v>
      </c>
      <c r="U20" s="64">
        <v>0.15</v>
      </c>
      <c r="V20" s="64">
        <f t="shared" si="6"/>
        <v>1.6666666666666667</v>
      </c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5">
        <f t="shared" si="0"/>
        <v>15.690999999999999</v>
      </c>
      <c r="BB20" s="65">
        <f t="shared" si="0"/>
        <v>105</v>
      </c>
      <c r="BC20" s="9">
        <f t="shared" si="5"/>
        <v>6.6917341150978276</v>
      </c>
    </row>
    <row r="21" spans="1:55" ht="15.6" x14ac:dyDescent="0.3">
      <c r="A21" s="44" t="s">
        <v>42</v>
      </c>
      <c r="B21" s="64"/>
      <c r="C21" s="64"/>
      <c r="D21" s="64"/>
      <c r="E21" s="64">
        <v>16.568000000000001</v>
      </c>
      <c r="F21" s="64">
        <v>31.99</v>
      </c>
      <c r="G21" s="64">
        <f t="shared" si="1"/>
        <v>1.9308305166586188</v>
      </c>
      <c r="H21" s="64">
        <v>71.7</v>
      </c>
      <c r="I21" s="64">
        <v>69.17</v>
      </c>
      <c r="J21" s="64">
        <f t="shared" si="2"/>
        <v>0.96471408647140866</v>
      </c>
      <c r="K21" s="64">
        <v>27.86</v>
      </c>
      <c r="L21" s="64">
        <v>54.5</v>
      </c>
      <c r="M21" s="64">
        <f t="shared" si="3"/>
        <v>1.9562096195262024</v>
      </c>
      <c r="N21" s="64">
        <v>10.9</v>
      </c>
      <c r="O21" s="64">
        <v>35.5</v>
      </c>
      <c r="P21" s="64">
        <f t="shared" si="4"/>
        <v>3.2568807339449539</v>
      </c>
      <c r="Q21" s="64"/>
      <c r="R21" s="64"/>
      <c r="S21" s="64"/>
      <c r="T21" s="64">
        <v>19.61</v>
      </c>
      <c r="U21" s="64">
        <v>10.8</v>
      </c>
      <c r="V21" s="64">
        <f t="shared" si="6"/>
        <v>0.55073941866394704</v>
      </c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5">
        <f t="shared" si="0"/>
        <v>146.63800000000001</v>
      </c>
      <c r="BB21" s="65">
        <f t="shared" si="0"/>
        <v>201.96</v>
      </c>
      <c r="BC21" s="9">
        <f t="shared" si="5"/>
        <v>1.3772691935241888</v>
      </c>
    </row>
    <row r="22" spans="1:55" ht="15.6" x14ac:dyDescent="0.3">
      <c r="A22" s="44" t="s">
        <v>44</v>
      </c>
      <c r="B22" s="64"/>
      <c r="C22" s="64"/>
      <c r="D22" s="64"/>
      <c r="E22" s="64"/>
      <c r="F22" s="64"/>
      <c r="G22" s="64"/>
      <c r="H22" s="64">
        <v>7.5</v>
      </c>
      <c r="I22" s="64">
        <v>14.08</v>
      </c>
      <c r="J22" s="64">
        <f t="shared" si="2"/>
        <v>1.8773333333333333</v>
      </c>
      <c r="K22" s="64">
        <v>0.9</v>
      </c>
      <c r="L22" s="64">
        <v>3.19</v>
      </c>
      <c r="M22" s="64">
        <f t="shared" si="3"/>
        <v>3.5444444444444443</v>
      </c>
      <c r="N22" s="64">
        <v>6.46</v>
      </c>
      <c r="O22" s="64">
        <v>73.739999999999995</v>
      </c>
      <c r="P22" s="64">
        <f t="shared" si="4"/>
        <v>11.414860681114551</v>
      </c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>
        <v>12.46</v>
      </c>
      <c r="AD22" s="64">
        <v>2.36</v>
      </c>
      <c r="AE22" s="64">
        <f t="shared" si="9"/>
        <v>0.18940609951845905</v>
      </c>
      <c r="AF22" s="64"/>
      <c r="AG22" s="64"/>
      <c r="AH22" s="64"/>
      <c r="AI22" s="64">
        <v>4.01</v>
      </c>
      <c r="AJ22" s="64">
        <v>5.51</v>
      </c>
      <c r="AK22" s="64">
        <f t="shared" si="13"/>
        <v>1.3740648379052369</v>
      </c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5">
        <f t="shared" si="0"/>
        <v>31.33</v>
      </c>
      <c r="BB22" s="65">
        <f t="shared" si="0"/>
        <v>98.88</v>
      </c>
      <c r="BC22" s="9">
        <f t="shared" si="5"/>
        <v>3.1560804340887327</v>
      </c>
    </row>
    <row r="23" spans="1:55" ht="15.6" x14ac:dyDescent="0.3">
      <c r="A23" s="44" t="s">
        <v>45</v>
      </c>
      <c r="B23" s="64"/>
      <c r="C23" s="64"/>
      <c r="D23" s="64"/>
      <c r="E23" s="64">
        <v>0.11</v>
      </c>
      <c r="F23" s="64">
        <v>0.27</v>
      </c>
      <c r="G23" s="64">
        <f t="shared" si="1"/>
        <v>2.4545454545454546</v>
      </c>
      <c r="H23" s="64">
        <v>11.13</v>
      </c>
      <c r="I23" s="64">
        <v>18.78</v>
      </c>
      <c r="J23" s="64">
        <f t="shared" si="2"/>
        <v>1.68733153638814</v>
      </c>
      <c r="K23" s="64">
        <v>0.19</v>
      </c>
      <c r="L23" s="64">
        <v>0.64</v>
      </c>
      <c r="M23" s="64">
        <f t="shared" si="3"/>
        <v>3.3684210526315788</v>
      </c>
      <c r="N23" s="64">
        <v>107.97</v>
      </c>
      <c r="O23" s="64">
        <v>727.5</v>
      </c>
      <c r="P23" s="64">
        <f t="shared" si="4"/>
        <v>6.7379827729924981</v>
      </c>
      <c r="Q23" s="64"/>
      <c r="R23" s="64"/>
      <c r="S23" s="64"/>
      <c r="T23" s="64">
        <v>181.71</v>
      </c>
      <c r="U23" s="64">
        <v>206.96</v>
      </c>
      <c r="V23" s="64">
        <f t="shared" si="6"/>
        <v>1.1389576798194927</v>
      </c>
      <c r="W23" s="64">
        <v>500.14</v>
      </c>
      <c r="X23" s="64">
        <v>206.94</v>
      </c>
      <c r="Y23" s="64">
        <f t="shared" si="10"/>
        <v>0.41376414603910905</v>
      </c>
      <c r="Z23" s="64">
        <v>45.2</v>
      </c>
      <c r="AA23" s="64">
        <v>56.24</v>
      </c>
      <c r="AB23" s="64">
        <f t="shared" si="8"/>
        <v>1.2442477876106195</v>
      </c>
      <c r="AC23" s="64">
        <v>129.71</v>
      </c>
      <c r="AD23" s="64">
        <v>157.93</v>
      </c>
      <c r="AE23" s="64">
        <f t="shared" si="9"/>
        <v>1.2175622542595019</v>
      </c>
      <c r="AF23" s="64">
        <v>15.43</v>
      </c>
      <c r="AG23" s="64">
        <v>10.54</v>
      </c>
      <c r="AH23" s="64">
        <f t="shared" si="7"/>
        <v>0.68308489954633822</v>
      </c>
      <c r="AI23" s="64">
        <v>12.8</v>
      </c>
      <c r="AJ23" s="64">
        <v>6</v>
      </c>
      <c r="AK23" s="64">
        <f t="shared" si="13"/>
        <v>0.46875</v>
      </c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5">
        <f t="shared" si="0"/>
        <v>1004.39</v>
      </c>
      <c r="BB23" s="65">
        <f t="shared" si="0"/>
        <v>1391.8000000000002</v>
      </c>
      <c r="BC23" s="9">
        <f t="shared" si="5"/>
        <v>1.3857167036708851</v>
      </c>
    </row>
    <row r="24" spans="1:55" ht="15.6" x14ac:dyDescent="0.3">
      <c r="A24" s="44" t="s">
        <v>46</v>
      </c>
      <c r="B24" s="64"/>
      <c r="C24" s="64"/>
      <c r="D24" s="64"/>
      <c r="E24" s="64">
        <v>12.3</v>
      </c>
      <c r="F24" s="64">
        <v>55.9</v>
      </c>
      <c r="G24" s="64">
        <f t="shared" si="1"/>
        <v>4.5447154471544708</v>
      </c>
      <c r="H24" s="64"/>
      <c r="I24" s="64"/>
      <c r="J24" s="64"/>
      <c r="K24" s="64">
        <v>1.95</v>
      </c>
      <c r="L24" s="64">
        <v>5.68</v>
      </c>
      <c r="M24" s="64">
        <f t="shared" si="3"/>
        <v>2.9128205128205127</v>
      </c>
      <c r="N24" s="64"/>
      <c r="O24" s="64"/>
      <c r="P24" s="64"/>
      <c r="Q24" s="64">
        <v>18</v>
      </c>
      <c r="R24" s="64">
        <v>5</v>
      </c>
      <c r="S24" s="64">
        <f t="shared" si="15"/>
        <v>0.27777777777777779</v>
      </c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5">
        <f t="shared" si="0"/>
        <v>32.25</v>
      </c>
      <c r="BB24" s="65">
        <f t="shared" si="0"/>
        <v>66.58</v>
      </c>
      <c r="BC24" s="9">
        <f t="shared" si="5"/>
        <v>2.0644961240310078</v>
      </c>
    </row>
    <row r="25" spans="1:55" ht="15.6" x14ac:dyDescent="0.3">
      <c r="A25" s="44" t="s">
        <v>47</v>
      </c>
      <c r="B25" s="64">
        <v>4.09</v>
      </c>
      <c r="C25" s="64">
        <v>0.91</v>
      </c>
      <c r="D25" s="64">
        <f t="shared" si="12"/>
        <v>0.22249388753056237</v>
      </c>
      <c r="E25" s="64">
        <v>0.33500000000000002</v>
      </c>
      <c r="F25" s="64">
        <v>2.29</v>
      </c>
      <c r="G25" s="64">
        <f t="shared" si="1"/>
        <v>6.8358208955223878</v>
      </c>
      <c r="H25" s="64">
        <v>44.18</v>
      </c>
      <c r="I25" s="64">
        <v>21.48</v>
      </c>
      <c r="J25" s="64">
        <f t="shared" si="2"/>
        <v>0.48619284744228158</v>
      </c>
      <c r="K25" s="64">
        <v>29.31</v>
      </c>
      <c r="L25" s="64">
        <v>112.59</v>
      </c>
      <c r="M25" s="64">
        <f t="shared" si="3"/>
        <v>3.8413510747185264</v>
      </c>
      <c r="N25" s="64">
        <v>0.51</v>
      </c>
      <c r="O25" s="64">
        <v>2.93</v>
      </c>
      <c r="P25" s="64">
        <f t="shared" si="4"/>
        <v>5.7450980392156863</v>
      </c>
      <c r="Q25" s="64">
        <v>4.01</v>
      </c>
      <c r="R25" s="64">
        <v>0.35</v>
      </c>
      <c r="S25" s="64">
        <f t="shared" si="15"/>
        <v>8.7281795511221949E-2</v>
      </c>
      <c r="T25" s="64">
        <v>9.2799999999999994</v>
      </c>
      <c r="U25" s="64">
        <v>5.74</v>
      </c>
      <c r="V25" s="64">
        <f t="shared" si="6"/>
        <v>0.61853448275862077</v>
      </c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>
        <v>0.99</v>
      </c>
      <c r="AS25" s="64">
        <v>0.97</v>
      </c>
      <c r="AT25" s="64">
        <f t="shared" si="18"/>
        <v>0.97979797979797978</v>
      </c>
      <c r="AU25" s="64">
        <v>15.43</v>
      </c>
      <c r="AV25" s="64">
        <v>48.06</v>
      </c>
      <c r="AW25" s="64">
        <f t="shared" si="14"/>
        <v>3.114711600777706</v>
      </c>
      <c r="AX25" s="64"/>
      <c r="AY25" s="64"/>
      <c r="AZ25" s="64"/>
      <c r="BA25" s="65">
        <f t="shared" si="0"/>
        <v>108.13499999999999</v>
      </c>
      <c r="BB25" s="65">
        <f t="shared" si="0"/>
        <v>195.32000000000002</v>
      </c>
      <c r="BC25" s="9">
        <f t="shared" si="5"/>
        <v>1.8062606926527029</v>
      </c>
    </row>
    <row r="26" spans="1:55" ht="15.6" x14ac:dyDescent="0.3">
      <c r="A26" s="44" t="s">
        <v>56</v>
      </c>
      <c r="B26" s="64"/>
      <c r="C26" s="64"/>
      <c r="D26" s="64"/>
      <c r="E26" s="64">
        <v>2.5</v>
      </c>
      <c r="F26" s="64">
        <v>12.34</v>
      </c>
      <c r="G26" s="64">
        <f t="shared" si="1"/>
        <v>4.9359999999999999</v>
      </c>
      <c r="H26" s="64">
        <v>126</v>
      </c>
      <c r="I26" s="64">
        <v>461</v>
      </c>
      <c r="J26" s="64">
        <f t="shared" si="2"/>
        <v>3.6587301587301586</v>
      </c>
      <c r="K26" s="64">
        <v>51</v>
      </c>
      <c r="L26" s="64">
        <v>294</v>
      </c>
      <c r="M26" s="64">
        <f t="shared" si="3"/>
        <v>5.7647058823529411</v>
      </c>
      <c r="N26" s="64">
        <v>0.28999999999999998</v>
      </c>
      <c r="O26" s="64">
        <v>1.01</v>
      </c>
      <c r="P26" s="64">
        <f t="shared" si="4"/>
        <v>3.4827586206896552</v>
      </c>
      <c r="Q26" s="64"/>
      <c r="R26" s="64"/>
      <c r="S26" s="64"/>
      <c r="T26" s="64">
        <v>1.01</v>
      </c>
      <c r="U26" s="64">
        <v>0.39</v>
      </c>
      <c r="V26" s="64">
        <f t="shared" si="6"/>
        <v>0.38613861386138615</v>
      </c>
      <c r="W26" s="64"/>
      <c r="X26" s="64"/>
      <c r="Y26" s="64"/>
      <c r="Z26" s="64"/>
      <c r="AA26" s="64"/>
      <c r="AB26" s="64"/>
      <c r="AC26" s="64"/>
      <c r="AD26" s="64"/>
      <c r="AE26" s="64"/>
      <c r="AF26" s="64">
        <v>1.38</v>
      </c>
      <c r="AG26" s="64">
        <v>5.72</v>
      </c>
      <c r="AH26" s="64">
        <f t="shared" si="7"/>
        <v>4.1449275362318838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>
        <v>2</v>
      </c>
      <c r="AV26" s="64">
        <v>12.49</v>
      </c>
      <c r="AW26" s="64">
        <f t="shared" si="14"/>
        <v>6.2450000000000001</v>
      </c>
      <c r="AX26" s="64"/>
      <c r="AY26" s="64"/>
      <c r="AZ26" s="64"/>
      <c r="BA26" s="65">
        <f t="shared" si="0"/>
        <v>184.17999999999998</v>
      </c>
      <c r="BB26" s="65">
        <f t="shared" si="0"/>
        <v>786.94999999999993</v>
      </c>
      <c r="BC26" s="9">
        <f t="shared" si="5"/>
        <v>4.2727223368443914</v>
      </c>
    </row>
    <row r="27" spans="1:55" ht="15.6" x14ac:dyDescent="0.3">
      <c r="A27" s="44" t="s">
        <v>48</v>
      </c>
      <c r="B27" s="64">
        <v>0.24</v>
      </c>
      <c r="C27" s="64">
        <v>0.15</v>
      </c>
      <c r="D27" s="64">
        <f t="shared" si="12"/>
        <v>0.625</v>
      </c>
      <c r="E27" s="64">
        <v>1.8</v>
      </c>
      <c r="F27" s="64">
        <v>7.6</v>
      </c>
      <c r="G27" s="64">
        <f t="shared" si="1"/>
        <v>4.2222222222222223</v>
      </c>
      <c r="H27" s="64">
        <v>2.35</v>
      </c>
      <c r="I27" s="64">
        <v>3.7</v>
      </c>
      <c r="J27" s="64">
        <f t="shared" si="2"/>
        <v>1.574468085106383</v>
      </c>
      <c r="K27" s="64">
        <v>1.3</v>
      </c>
      <c r="L27" s="64">
        <v>6.59</v>
      </c>
      <c r="M27" s="64">
        <f t="shared" si="3"/>
        <v>5.069230769230769</v>
      </c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5">
        <f t="shared" si="0"/>
        <v>5.69</v>
      </c>
      <c r="BB27" s="65">
        <f t="shared" si="0"/>
        <v>18.04</v>
      </c>
      <c r="BC27" s="9">
        <f t="shared" si="5"/>
        <v>3.1704745166959576</v>
      </c>
    </row>
    <row r="28" spans="1:55" ht="15.6" x14ac:dyDescent="0.3">
      <c r="A28" s="44" t="s">
        <v>49</v>
      </c>
      <c r="B28" s="64"/>
      <c r="C28" s="64"/>
      <c r="D28" s="64"/>
      <c r="E28" s="64">
        <v>0.94399999999999995</v>
      </c>
      <c r="F28" s="64">
        <v>4.3499999999999996</v>
      </c>
      <c r="G28" s="64">
        <f t="shared" si="1"/>
        <v>4.6080508474576272</v>
      </c>
      <c r="H28" s="64">
        <v>13.55</v>
      </c>
      <c r="I28" s="64">
        <v>10.26</v>
      </c>
      <c r="J28" s="64">
        <f t="shared" si="2"/>
        <v>0.75719557195571952</v>
      </c>
      <c r="K28" s="64">
        <v>2</v>
      </c>
      <c r="L28" s="64">
        <v>6</v>
      </c>
      <c r="M28" s="64">
        <f t="shared" si="3"/>
        <v>3</v>
      </c>
      <c r="N28" s="64">
        <v>35.25</v>
      </c>
      <c r="O28" s="64">
        <v>202.3</v>
      </c>
      <c r="P28" s="64">
        <f t="shared" si="4"/>
        <v>5.7390070921985821</v>
      </c>
      <c r="Q28" s="64"/>
      <c r="R28" s="64"/>
      <c r="S28" s="64"/>
      <c r="T28" s="64">
        <v>7.8</v>
      </c>
      <c r="U28" s="64">
        <v>3.58</v>
      </c>
      <c r="V28" s="64">
        <f t="shared" si="6"/>
        <v>0.45897435897435901</v>
      </c>
      <c r="W28" s="64">
        <v>0</v>
      </c>
      <c r="X28" s="64">
        <v>0.01</v>
      </c>
      <c r="Y28" s="64"/>
      <c r="Z28" s="64">
        <v>0.71</v>
      </c>
      <c r="AA28" s="64">
        <v>0.67</v>
      </c>
      <c r="AB28" s="64">
        <f t="shared" si="8"/>
        <v>0.94366197183098599</v>
      </c>
      <c r="AC28" s="64">
        <v>0.32</v>
      </c>
      <c r="AD28" s="64">
        <v>0.19</v>
      </c>
      <c r="AE28" s="64">
        <f t="shared" si="9"/>
        <v>0.59375</v>
      </c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5">
        <f t="shared" si="0"/>
        <v>60.573999999999998</v>
      </c>
      <c r="BB28" s="65">
        <f t="shared" si="0"/>
        <v>227.36</v>
      </c>
      <c r="BC28" s="9">
        <f t="shared" si="5"/>
        <v>3.7534255621223629</v>
      </c>
    </row>
    <row r="29" spans="1:55" ht="15.6" x14ac:dyDescent="0.3">
      <c r="A29" s="44" t="s">
        <v>50</v>
      </c>
      <c r="B29" s="64"/>
      <c r="C29" s="64"/>
      <c r="D29" s="64"/>
      <c r="E29" s="64">
        <v>1.8140000000000001</v>
      </c>
      <c r="F29" s="64">
        <v>19.07</v>
      </c>
      <c r="G29" s="64">
        <f t="shared" si="1"/>
        <v>10.512679162072768</v>
      </c>
      <c r="H29" s="64">
        <v>9</v>
      </c>
      <c r="I29" s="64">
        <v>7.2</v>
      </c>
      <c r="J29" s="64">
        <f t="shared" si="2"/>
        <v>0.8</v>
      </c>
      <c r="K29" s="64">
        <v>0.98</v>
      </c>
      <c r="L29" s="64">
        <v>1.74</v>
      </c>
      <c r="M29" s="64">
        <f t="shared" si="3"/>
        <v>1.7755102040816326</v>
      </c>
      <c r="N29" s="64">
        <v>1.49</v>
      </c>
      <c r="O29" s="64">
        <v>2.17</v>
      </c>
      <c r="P29" s="64">
        <f t="shared" si="4"/>
        <v>1.4563758389261745</v>
      </c>
      <c r="Q29" s="64"/>
      <c r="R29" s="64"/>
      <c r="S29" s="64"/>
      <c r="T29" s="64">
        <v>0.9</v>
      </c>
      <c r="U29" s="64">
        <v>3.8</v>
      </c>
      <c r="V29" s="64">
        <f t="shared" si="6"/>
        <v>4.2222222222222223</v>
      </c>
      <c r="W29" s="64"/>
      <c r="X29" s="64"/>
      <c r="Y29" s="64"/>
      <c r="Z29" s="64"/>
      <c r="AA29" s="64"/>
      <c r="AB29" s="64"/>
      <c r="AC29" s="64">
        <v>0.4</v>
      </c>
      <c r="AD29" s="64">
        <v>2.61</v>
      </c>
      <c r="AE29" s="64">
        <f t="shared" si="9"/>
        <v>6.5249999999999995</v>
      </c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5">
        <f t="shared" si="0"/>
        <v>14.584000000000001</v>
      </c>
      <c r="BB29" s="65">
        <f t="shared" si="0"/>
        <v>36.589999999999996</v>
      </c>
      <c r="BC29" s="9">
        <f t="shared" si="5"/>
        <v>2.5089138782227094</v>
      </c>
    </row>
    <row r="30" spans="1:55" ht="15.6" x14ac:dyDescent="0.3">
      <c r="A30" s="44" t="s">
        <v>51</v>
      </c>
      <c r="B30" s="64">
        <v>0.26</v>
      </c>
      <c r="C30" s="64">
        <v>7.0000000000000007E-2</v>
      </c>
      <c r="D30" s="64">
        <f t="shared" si="12"/>
        <v>0.26923076923076927</v>
      </c>
      <c r="E30" s="64">
        <v>11.99</v>
      </c>
      <c r="F30" s="64">
        <v>130.4</v>
      </c>
      <c r="G30" s="64">
        <f t="shared" si="1"/>
        <v>10.875729774812344</v>
      </c>
      <c r="H30" s="64">
        <v>65.12</v>
      </c>
      <c r="I30" s="64">
        <v>100.34</v>
      </c>
      <c r="J30" s="64">
        <f t="shared" si="2"/>
        <v>1.5408476658476657</v>
      </c>
      <c r="K30" s="64">
        <v>18</v>
      </c>
      <c r="L30" s="64">
        <v>45.5</v>
      </c>
      <c r="M30" s="64">
        <f t="shared" si="3"/>
        <v>2.5277777777777777</v>
      </c>
      <c r="N30" s="64">
        <v>3.7</v>
      </c>
      <c r="O30" s="64">
        <v>36.1</v>
      </c>
      <c r="P30" s="64">
        <f t="shared" si="4"/>
        <v>9.7567567567567561</v>
      </c>
      <c r="Q30" s="64">
        <v>2.96</v>
      </c>
      <c r="R30" s="64">
        <v>0.76</v>
      </c>
      <c r="S30" s="64">
        <f t="shared" si="15"/>
        <v>0.25675675675675674</v>
      </c>
      <c r="T30" s="64">
        <v>11.46</v>
      </c>
      <c r="U30" s="64">
        <v>14.56</v>
      </c>
      <c r="V30" s="64">
        <f t="shared" si="6"/>
        <v>1.2705061082024431</v>
      </c>
      <c r="W30" s="64">
        <v>1.47</v>
      </c>
      <c r="X30" s="64">
        <v>1.46</v>
      </c>
      <c r="Y30" s="64">
        <f t="shared" si="10"/>
        <v>0.99319727891156462</v>
      </c>
      <c r="Z30" s="64">
        <v>1.02</v>
      </c>
      <c r="AA30" s="64">
        <v>1.03</v>
      </c>
      <c r="AB30" s="64">
        <f t="shared" si="8"/>
        <v>1.0098039215686274</v>
      </c>
      <c r="AC30" s="64">
        <v>2.41</v>
      </c>
      <c r="AD30" s="64">
        <v>2.6</v>
      </c>
      <c r="AE30" s="64">
        <f t="shared" si="9"/>
        <v>1.0788381742738589</v>
      </c>
      <c r="AF30" s="64"/>
      <c r="AG30" s="64"/>
      <c r="AH30" s="64"/>
      <c r="AI30" s="64">
        <v>1.25</v>
      </c>
      <c r="AJ30" s="64">
        <v>1.6</v>
      </c>
      <c r="AK30" s="64">
        <f t="shared" si="13"/>
        <v>1.28</v>
      </c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5">
        <f t="shared" si="0"/>
        <v>119.64</v>
      </c>
      <c r="BB30" s="65">
        <f t="shared" si="0"/>
        <v>334.42</v>
      </c>
      <c r="BC30" s="9">
        <f t="shared" si="5"/>
        <v>2.7952189903042464</v>
      </c>
    </row>
    <row r="31" spans="1:55" ht="15.6" x14ac:dyDescent="0.3">
      <c r="A31" s="44" t="s">
        <v>75</v>
      </c>
      <c r="B31" s="64">
        <f>'[1]UT''s 2016-17'!N69</f>
        <v>0.01</v>
      </c>
      <c r="C31" s="64">
        <f>'[1]UT''s 2016-17'!O69</f>
        <v>0.02</v>
      </c>
      <c r="D31" s="64">
        <f t="shared" si="12"/>
        <v>2</v>
      </c>
      <c r="E31" s="64">
        <f>'[1]UT''s 2016-17'!N70</f>
        <v>0</v>
      </c>
      <c r="F31" s="64">
        <f>'[1]UT''s 2016-17'!O70</f>
        <v>0</v>
      </c>
      <c r="G31" s="64"/>
      <c r="H31" s="64">
        <f>'[1]UT''s 2016-17'!N71</f>
        <v>0</v>
      </c>
      <c r="I31" s="64">
        <f>'[1]UT''s 2016-17'!O71</f>
        <v>0.02</v>
      </c>
      <c r="J31" s="64"/>
      <c r="K31" s="64">
        <f>'[1]UT''s 2016-17'!N72</f>
        <v>0</v>
      </c>
      <c r="L31" s="64">
        <f>'[1]UT''s 2016-17'!O72</f>
        <v>0</v>
      </c>
      <c r="M31" s="64"/>
      <c r="N31" s="64">
        <f>'[1]UT''s 2016-17'!N73</f>
        <v>0</v>
      </c>
      <c r="O31" s="64">
        <f>'[1]UT''s 2016-17'!O73</f>
        <v>0</v>
      </c>
      <c r="P31" s="64"/>
      <c r="Q31" s="64">
        <f>'[1]UT''s 2016-17'!N74</f>
        <v>0</v>
      </c>
      <c r="R31" s="64">
        <f>'[1]UT''s 2016-17'!O74</f>
        <v>0</v>
      </c>
      <c r="S31" s="64"/>
      <c r="T31" s="64">
        <f>'[1]UT''s 2016-17'!N75</f>
        <v>0</v>
      </c>
      <c r="U31" s="64">
        <f>'[1]UT''s 2016-17'!O75</f>
        <v>0</v>
      </c>
      <c r="V31" s="64"/>
      <c r="W31" s="64">
        <f>'[1]UT''s 2016-17'!N76</f>
        <v>0</v>
      </c>
      <c r="X31" s="64">
        <f>'[1]UT''s 2016-17'!O76</f>
        <v>0</v>
      </c>
      <c r="Y31" s="64"/>
      <c r="Z31" s="64">
        <f>'[1]UT''s 2016-17'!N77</f>
        <v>0</v>
      </c>
      <c r="AA31" s="64">
        <f>'[1]UT''s 2016-17'!O77</f>
        <v>0</v>
      </c>
      <c r="AB31" s="64"/>
      <c r="AC31" s="64">
        <f>'[1]UT''s 2016-17'!N78</f>
        <v>0</v>
      </c>
      <c r="AD31" s="64">
        <f>'[1]UT''s 2016-17'!O78</f>
        <v>0</v>
      </c>
      <c r="AE31" s="64"/>
      <c r="AF31" s="64">
        <f>'[1]UT''s 2016-17'!N79</f>
        <v>0</v>
      </c>
      <c r="AG31" s="64">
        <f>'[1]UT''s 2016-17'!O79</f>
        <v>0</v>
      </c>
      <c r="AH31" s="64"/>
      <c r="AI31" s="64">
        <f>'[1]UT''s 2016-17'!N80</f>
        <v>0</v>
      </c>
      <c r="AJ31" s="64">
        <f>'[1]UT''s 2016-17'!O80</f>
        <v>0</v>
      </c>
      <c r="AK31" s="64"/>
      <c r="AL31" s="64">
        <f>'[1]UT''s 2016-17'!N81</f>
        <v>0</v>
      </c>
      <c r="AM31" s="64">
        <f>'[1]UT''s 2016-17'!O81</f>
        <v>0</v>
      </c>
      <c r="AN31" s="64"/>
      <c r="AO31" s="64">
        <f>'[1]UT''s 2016-17'!N82</f>
        <v>0</v>
      </c>
      <c r="AP31" s="64">
        <f>'[1]UT''s 2016-17'!O82</f>
        <v>0</v>
      </c>
      <c r="AQ31" s="64"/>
      <c r="AR31" s="64">
        <f>'[1]UT''s 2016-17'!N83</f>
        <v>0</v>
      </c>
      <c r="AS31" s="64">
        <f>'[1]UT''s 2016-17'!O83</f>
        <v>0</v>
      </c>
      <c r="AT31" s="64"/>
      <c r="AU31" s="64">
        <f>'[1]UT''s 2016-17'!N84</f>
        <v>0.06</v>
      </c>
      <c r="AV31" s="64">
        <f>'[1]UT''s 2016-17'!O84</f>
        <v>0.32</v>
      </c>
      <c r="AW31" s="64">
        <f t="shared" si="14"/>
        <v>5.3333333333333339</v>
      </c>
      <c r="AX31" s="64">
        <f>'[1]UT''s 2016-17'!N85</f>
        <v>0</v>
      </c>
      <c r="AY31" s="64">
        <f>'[1]UT''s 2016-17'!O85</f>
        <v>0</v>
      </c>
      <c r="AZ31" s="64"/>
      <c r="BA31" s="65">
        <f t="shared" si="0"/>
        <v>6.9999999999999993E-2</v>
      </c>
      <c r="BB31" s="65">
        <f t="shared" si="0"/>
        <v>0.36</v>
      </c>
      <c r="BC31" s="9">
        <f t="shared" si="5"/>
        <v>5.1428571428571432</v>
      </c>
    </row>
    <row r="32" spans="1:55" ht="15.6" x14ac:dyDescent="0.3">
      <c r="A32" s="44" t="s">
        <v>52</v>
      </c>
      <c r="B32" s="127">
        <f>SUM(B3:B31)</f>
        <v>130.94999999999999</v>
      </c>
      <c r="C32" s="182">
        <f t="shared" ref="C32:BB32" si="19">SUM(C3:C31)</f>
        <v>71.849999999999994</v>
      </c>
      <c r="D32" s="65">
        <f t="shared" si="12"/>
        <v>0.54868270332187863</v>
      </c>
      <c r="E32" s="127">
        <f t="shared" si="19"/>
        <v>167.37300000000002</v>
      </c>
      <c r="F32" s="116">
        <f t="shared" si="19"/>
        <v>1067.6400000000001</v>
      </c>
      <c r="G32" s="135">
        <f t="shared" si="1"/>
        <v>6.3788066175548028</v>
      </c>
      <c r="H32" s="127">
        <f t="shared" si="19"/>
        <v>839.70999999999992</v>
      </c>
      <c r="I32" s="116">
        <f t="shared" si="19"/>
        <v>2095.4899999999998</v>
      </c>
      <c r="J32" s="65">
        <f t="shared" si="2"/>
        <v>2.4954924914553835</v>
      </c>
      <c r="K32" s="127">
        <f t="shared" si="19"/>
        <v>221.70000000000002</v>
      </c>
      <c r="L32" s="116">
        <f t="shared" si="19"/>
        <v>1055.6300000000001</v>
      </c>
      <c r="M32" s="135">
        <f t="shared" si="3"/>
        <v>4.7615245827695087</v>
      </c>
      <c r="N32" s="127">
        <f t="shared" si="19"/>
        <v>320.93</v>
      </c>
      <c r="O32" s="116">
        <f t="shared" si="19"/>
        <v>1693.2</v>
      </c>
      <c r="P32" s="135">
        <f t="shared" si="4"/>
        <v>5.2759168666064253</v>
      </c>
      <c r="Q32" s="191">
        <f t="shared" si="19"/>
        <v>84.679999999999993</v>
      </c>
      <c r="R32" s="202">
        <f t="shared" si="19"/>
        <v>27.660000000000004</v>
      </c>
      <c r="S32" s="65">
        <f t="shared" si="15"/>
        <v>0.32664147378365621</v>
      </c>
      <c r="T32" s="127">
        <f t="shared" si="19"/>
        <v>673.96999999999991</v>
      </c>
      <c r="U32" s="116">
        <f t="shared" si="19"/>
        <v>883.22999999999979</v>
      </c>
      <c r="V32" s="65">
        <f t="shared" si="6"/>
        <v>1.3104885974153151</v>
      </c>
      <c r="W32" s="127">
        <f t="shared" si="19"/>
        <v>780.72</v>
      </c>
      <c r="X32" s="116">
        <f t="shared" si="19"/>
        <v>492.87999999999994</v>
      </c>
      <c r="Y32" s="65">
        <f t="shared" si="10"/>
        <v>0.6313146838815451</v>
      </c>
      <c r="Z32" s="191">
        <f t="shared" si="19"/>
        <v>90.85</v>
      </c>
      <c r="AA32" s="182">
        <f t="shared" si="19"/>
        <v>152.72</v>
      </c>
      <c r="AB32" s="65">
        <f t="shared" si="8"/>
        <v>1.6810126582278482</v>
      </c>
      <c r="AC32" s="191">
        <f t="shared" si="19"/>
        <v>210.15</v>
      </c>
      <c r="AD32" s="182">
        <f t="shared" si="19"/>
        <v>297.12000000000006</v>
      </c>
      <c r="AE32" s="65">
        <f t="shared" si="9"/>
        <v>1.413847251962884</v>
      </c>
      <c r="AF32" s="191">
        <f t="shared" si="19"/>
        <v>30.83</v>
      </c>
      <c r="AG32" s="182">
        <f t="shared" si="19"/>
        <v>27.009999999999998</v>
      </c>
      <c r="AH32" s="65">
        <f t="shared" si="7"/>
        <v>0.87609471294193964</v>
      </c>
      <c r="AI32" s="212">
        <f t="shared" si="19"/>
        <v>35.56</v>
      </c>
      <c r="AJ32" s="182">
        <f t="shared" si="19"/>
        <v>35</v>
      </c>
      <c r="AK32" s="65">
        <f t="shared" si="13"/>
        <v>0.98425196850393692</v>
      </c>
      <c r="AL32" s="212">
        <f t="shared" si="19"/>
        <v>2.62</v>
      </c>
      <c r="AM32" s="202">
        <f t="shared" si="19"/>
        <v>5.04</v>
      </c>
      <c r="AN32" s="135">
        <f t="shared" si="16"/>
        <v>1.9236641221374045</v>
      </c>
      <c r="AO32" s="212">
        <f t="shared" si="19"/>
        <v>22.810000000000002</v>
      </c>
      <c r="AP32" s="202">
        <f t="shared" si="19"/>
        <v>15.409999999999998</v>
      </c>
      <c r="AQ32" s="65">
        <f t="shared" si="17"/>
        <v>0.67558088557650142</v>
      </c>
      <c r="AR32" s="212">
        <f t="shared" si="19"/>
        <v>2.1900000000000004</v>
      </c>
      <c r="AS32" s="202">
        <f t="shared" si="19"/>
        <v>1.22</v>
      </c>
      <c r="AT32" s="65">
        <f t="shared" si="18"/>
        <v>0.55707762557077611</v>
      </c>
      <c r="AU32" s="191">
        <f t="shared" si="19"/>
        <v>48.89</v>
      </c>
      <c r="AV32" s="116">
        <f t="shared" si="19"/>
        <v>197.15</v>
      </c>
      <c r="AW32" s="135">
        <f t="shared" si="14"/>
        <v>4.032521988136633</v>
      </c>
      <c r="AX32" s="212">
        <f t="shared" si="19"/>
        <v>4.4799999999999995</v>
      </c>
      <c r="AY32" s="202">
        <f t="shared" si="19"/>
        <v>0.32</v>
      </c>
      <c r="AZ32" s="65">
        <f t="shared" si="11"/>
        <v>7.1428571428571438E-2</v>
      </c>
      <c r="BA32" s="65">
        <f t="shared" si="19"/>
        <v>3668.413</v>
      </c>
      <c r="BB32" s="65">
        <f t="shared" si="19"/>
        <v>8118.57</v>
      </c>
      <c r="BC32" s="9">
        <f t="shared" si="5"/>
        <v>2.2131014146989445</v>
      </c>
    </row>
  </sheetData>
  <mergeCells count="18">
    <mergeCell ref="Q1:R1"/>
    <mergeCell ref="B1:C1"/>
    <mergeCell ref="E1:F1"/>
    <mergeCell ref="H1:I1"/>
    <mergeCell ref="K1:L1"/>
    <mergeCell ref="N1:O1"/>
    <mergeCell ref="BA1:BB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C415-A1C6-4882-97B1-5BD13E0884C6}">
  <dimension ref="A1:BC32"/>
  <sheetViews>
    <sheetView topLeftCell="AG13" workbookViewId="0">
      <selection activeCell="AX32" sqref="AX32"/>
    </sheetView>
  </sheetViews>
  <sheetFormatPr defaultRowHeight="14.4" x14ac:dyDescent="0.3"/>
  <cols>
    <col min="1" max="1" width="22.33203125" bestFit="1" customWidth="1"/>
  </cols>
  <sheetData>
    <row r="1" spans="1:55" ht="15.6" x14ac:dyDescent="0.3">
      <c r="A1" s="241" t="s">
        <v>54</v>
      </c>
      <c r="B1" s="233" t="s">
        <v>58</v>
      </c>
      <c r="C1" s="233"/>
      <c r="D1" s="40"/>
      <c r="E1" s="233" t="s">
        <v>59</v>
      </c>
      <c r="F1" s="233"/>
      <c r="G1" s="40"/>
      <c r="H1" s="233" t="s">
        <v>60</v>
      </c>
      <c r="I1" s="233"/>
      <c r="J1" s="40"/>
      <c r="K1" s="233" t="s">
        <v>61</v>
      </c>
      <c r="L1" s="233"/>
      <c r="M1" s="40"/>
      <c r="N1" s="233" t="s">
        <v>62</v>
      </c>
      <c r="O1" s="233"/>
      <c r="P1" s="40"/>
      <c r="Q1" s="233" t="s">
        <v>63</v>
      </c>
      <c r="R1" s="233"/>
      <c r="S1" s="40"/>
      <c r="T1" s="233" t="s">
        <v>64</v>
      </c>
      <c r="U1" s="233"/>
      <c r="V1" s="40"/>
      <c r="W1" s="233" t="s">
        <v>65</v>
      </c>
      <c r="X1" s="233"/>
      <c r="Y1" s="40"/>
      <c r="Z1" s="233" t="s">
        <v>66</v>
      </c>
      <c r="AA1" s="233"/>
      <c r="AB1" s="40"/>
      <c r="AC1" s="233" t="s">
        <v>67</v>
      </c>
      <c r="AD1" s="233"/>
      <c r="AE1" s="40"/>
      <c r="AF1" s="233" t="s">
        <v>68</v>
      </c>
      <c r="AG1" s="233"/>
      <c r="AH1" s="53"/>
      <c r="AI1" s="239" t="s">
        <v>69</v>
      </c>
      <c r="AJ1" s="240"/>
      <c r="AK1" s="55"/>
      <c r="AL1" s="239" t="s">
        <v>70</v>
      </c>
      <c r="AM1" s="240"/>
      <c r="AN1" s="54"/>
      <c r="AO1" s="233" t="s">
        <v>71</v>
      </c>
      <c r="AP1" s="233"/>
      <c r="AQ1" s="40"/>
      <c r="AR1" s="233" t="s">
        <v>72</v>
      </c>
      <c r="AS1" s="233"/>
      <c r="AT1" s="40"/>
      <c r="AU1" s="233" t="s">
        <v>73</v>
      </c>
      <c r="AV1" s="233"/>
      <c r="AW1" s="53"/>
      <c r="AX1" s="239" t="s">
        <v>74</v>
      </c>
      <c r="AY1" s="240"/>
      <c r="AZ1" s="54"/>
      <c r="BA1" s="236" t="s">
        <v>52</v>
      </c>
      <c r="BB1" s="237"/>
      <c r="BC1" s="238"/>
    </row>
    <row r="2" spans="1:55" ht="15.6" x14ac:dyDescent="0.3">
      <c r="A2" s="242"/>
      <c r="B2" s="40" t="s">
        <v>19</v>
      </c>
      <c r="C2" s="40" t="s">
        <v>20</v>
      </c>
      <c r="D2" s="40" t="s">
        <v>21</v>
      </c>
      <c r="E2" s="40" t="s">
        <v>19</v>
      </c>
      <c r="F2" s="40" t="s">
        <v>20</v>
      </c>
      <c r="G2" s="40" t="s">
        <v>21</v>
      </c>
      <c r="H2" s="40" t="s">
        <v>19</v>
      </c>
      <c r="I2" s="40" t="s">
        <v>20</v>
      </c>
      <c r="J2" s="40" t="s">
        <v>21</v>
      </c>
      <c r="K2" s="40" t="s">
        <v>19</v>
      </c>
      <c r="L2" s="40" t="s">
        <v>20</v>
      </c>
      <c r="M2" s="40" t="s">
        <v>21</v>
      </c>
      <c r="N2" s="40" t="s">
        <v>19</v>
      </c>
      <c r="O2" s="40" t="s">
        <v>20</v>
      </c>
      <c r="P2" s="40" t="s">
        <v>21</v>
      </c>
      <c r="Q2" s="40" t="s">
        <v>19</v>
      </c>
      <c r="R2" s="40" t="s">
        <v>20</v>
      </c>
      <c r="S2" s="40" t="s">
        <v>21</v>
      </c>
      <c r="T2" s="40" t="s">
        <v>19</v>
      </c>
      <c r="U2" s="40" t="s">
        <v>20</v>
      </c>
      <c r="V2" s="40" t="s">
        <v>21</v>
      </c>
      <c r="W2" s="40" t="s">
        <v>19</v>
      </c>
      <c r="X2" s="40" t="s">
        <v>20</v>
      </c>
      <c r="Y2" s="40" t="s">
        <v>21</v>
      </c>
      <c r="Z2" s="40" t="s">
        <v>19</v>
      </c>
      <c r="AA2" s="40" t="s">
        <v>20</v>
      </c>
      <c r="AB2" s="40" t="s">
        <v>21</v>
      </c>
      <c r="AC2" s="40" t="s">
        <v>19</v>
      </c>
      <c r="AD2" s="40" t="s">
        <v>20</v>
      </c>
      <c r="AE2" s="40" t="s">
        <v>21</v>
      </c>
      <c r="AF2" s="40" t="s">
        <v>19</v>
      </c>
      <c r="AG2" s="40" t="s">
        <v>20</v>
      </c>
      <c r="AH2" s="40" t="s">
        <v>21</v>
      </c>
      <c r="AI2" s="40" t="s">
        <v>19</v>
      </c>
      <c r="AJ2" s="40" t="s">
        <v>20</v>
      </c>
      <c r="AK2" s="40" t="s">
        <v>21</v>
      </c>
      <c r="AL2" s="40" t="s">
        <v>19</v>
      </c>
      <c r="AM2" s="40" t="s">
        <v>20</v>
      </c>
      <c r="AN2" s="40" t="s">
        <v>21</v>
      </c>
      <c r="AO2" s="40" t="s">
        <v>19</v>
      </c>
      <c r="AP2" s="40" t="s">
        <v>20</v>
      </c>
      <c r="AQ2" s="40" t="s">
        <v>21</v>
      </c>
      <c r="AR2" s="40" t="s">
        <v>19</v>
      </c>
      <c r="AS2" s="40" t="s">
        <v>20</v>
      </c>
      <c r="AT2" s="40" t="s">
        <v>21</v>
      </c>
      <c r="AU2" s="40" t="s">
        <v>19</v>
      </c>
      <c r="AV2" s="40" t="s">
        <v>20</v>
      </c>
      <c r="AW2" s="40" t="s">
        <v>21</v>
      </c>
      <c r="AX2" s="40" t="s">
        <v>19</v>
      </c>
      <c r="AY2" s="40" t="s">
        <v>20</v>
      </c>
      <c r="AZ2" s="40" t="s">
        <v>21</v>
      </c>
      <c r="BA2" s="40" t="s">
        <v>19</v>
      </c>
      <c r="BB2" s="40" t="s">
        <v>20</v>
      </c>
      <c r="BC2" s="40" t="s">
        <v>21</v>
      </c>
    </row>
    <row r="3" spans="1:55" ht="15.6" x14ac:dyDescent="0.3">
      <c r="A3" s="56" t="s">
        <v>23</v>
      </c>
      <c r="B3" s="57"/>
      <c r="C3" s="57"/>
      <c r="D3" s="57"/>
      <c r="E3" s="57">
        <v>0.36299999999999999</v>
      </c>
      <c r="F3" s="57">
        <v>0.96</v>
      </c>
      <c r="G3" s="57">
        <f>F3/E3</f>
        <v>2.6446280991735538</v>
      </c>
      <c r="H3" s="57">
        <v>156.06</v>
      </c>
      <c r="I3" s="57">
        <v>618.41999999999996</v>
      </c>
      <c r="J3" s="57">
        <f>I3/H3</f>
        <v>3.9627066512879661</v>
      </c>
      <c r="K3" s="57">
        <v>17.02</v>
      </c>
      <c r="L3" s="57">
        <v>121.12</v>
      </c>
      <c r="M3" s="57">
        <f>L3/K3</f>
        <v>7.1163337250293779</v>
      </c>
      <c r="N3" s="57"/>
      <c r="O3" s="57"/>
      <c r="P3" s="57"/>
      <c r="Q3" s="57"/>
      <c r="R3" s="57"/>
      <c r="S3" s="57"/>
      <c r="T3" s="57">
        <v>25.34</v>
      </c>
      <c r="U3" s="57">
        <v>10.4</v>
      </c>
      <c r="V3" s="57">
        <f>U3/T3</f>
        <v>0.41041831097079717</v>
      </c>
      <c r="W3" s="57"/>
      <c r="X3" s="57"/>
      <c r="Y3" s="57"/>
      <c r="Z3" s="57"/>
      <c r="AA3" s="57"/>
      <c r="AB3" s="57"/>
      <c r="AC3" s="57"/>
      <c r="AD3" s="57"/>
      <c r="AE3" s="57"/>
      <c r="AF3" s="57">
        <v>9.1199999999999992</v>
      </c>
      <c r="AG3" s="57">
        <v>4.1500000000000004</v>
      </c>
      <c r="AH3" s="57">
        <f>AG3/AF3</f>
        <v>0.45504385964912286</v>
      </c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>
        <v>4.83</v>
      </c>
      <c r="AV3" s="57">
        <v>11.1</v>
      </c>
      <c r="AW3" s="57">
        <f>AV3/AU3</f>
        <v>2.2981366459627326</v>
      </c>
      <c r="AX3" s="57">
        <v>0.01</v>
      </c>
      <c r="AY3" s="57">
        <v>0.01</v>
      </c>
      <c r="AZ3" s="57">
        <f>AY3/AX3</f>
        <v>1</v>
      </c>
      <c r="BA3" s="58">
        <f t="shared" ref="BA3:BB31" si="0">B3+E3+H3+K3+N3+Q3+T3+W3+Z3+AC3+AF3+AI3+AL3+AO3+AR3+AU3+AX3</f>
        <v>212.74300000000002</v>
      </c>
      <c r="BB3" s="58">
        <f t="shared" si="0"/>
        <v>766.16</v>
      </c>
      <c r="BC3" s="9">
        <f>BB3/BA3</f>
        <v>3.6013405846490829</v>
      </c>
    </row>
    <row r="4" spans="1:55" ht="15.6" x14ac:dyDescent="0.3">
      <c r="A4" s="59" t="s">
        <v>24</v>
      </c>
      <c r="B4" s="57"/>
      <c r="C4" s="57"/>
      <c r="D4" s="57"/>
      <c r="E4" s="57">
        <v>7.65</v>
      </c>
      <c r="F4" s="57">
        <v>56.58</v>
      </c>
      <c r="G4" s="57">
        <f t="shared" ref="G4:G32" si="1">F4/E4</f>
        <v>7.3960784313725485</v>
      </c>
      <c r="H4" s="57">
        <v>2.96</v>
      </c>
      <c r="I4" s="57">
        <v>8.2899999999999991</v>
      </c>
      <c r="J4" s="57">
        <f t="shared" ref="J4:J32" si="2">I4/H4</f>
        <v>2.8006756756756754</v>
      </c>
      <c r="K4" s="57">
        <v>0.8</v>
      </c>
      <c r="L4" s="57">
        <v>3.84</v>
      </c>
      <c r="M4" s="57">
        <f t="shared" ref="M4:M32" si="3">L4/K4</f>
        <v>4.8</v>
      </c>
      <c r="N4" s="57">
        <v>0.03</v>
      </c>
      <c r="O4" s="57">
        <v>0.01</v>
      </c>
      <c r="P4" s="57">
        <f>O4/N4</f>
        <v>0.33333333333333337</v>
      </c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8">
        <f t="shared" si="0"/>
        <v>11.44</v>
      </c>
      <c r="BB4" s="58">
        <f t="shared" si="0"/>
        <v>68.720000000000013</v>
      </c>
      <c r="BC4" s="9">
        <f t="shared" ref="BC4:BC32" si="4">BB4/BA4</f>
        <v>6.0069930069930084</v>
      </c>
    </row>
    <row r="5" spans="1:55" ht="15.6" x14ac:dyDescent="0.3">
      <c r="A5" s="56" t="s">
        <v>25</v>
      </c>
      <c r="B5" s="57">
        <v>3.87</v>
      </c>
      <c r="C5" s="57">
        <v>2.61</v>
      </c>
      <c r="D5" s="57">
        <f>C5/B5</f>
        <v>0.67441860465116277</v>
      </c>
      <c r="E5" s="57">
        <v>18.547999999999998</v>
      </c>
      <c r="F5" s="57">
        <v>163.13</v>
      </c>
      <c r="G5" s="57">
        <f t="shared" si="1"/>
        <v>8.7950183308173386</v>
      </c>
      <c r="H5" s="57">
        <v>21.41</v>
      </c>
      <c r="I5" s="57">
        <v>19.12</v>
      </c>
      <c r="J5" s="57">
        <f t="shared" si="2"/>
        <v>0.89304063521718824</v>
      </c>
      <c r="K5" s="57">
        <v>16.89</v>
      </c>
      <c r="L5" s="57">
        <v>16.75</v>
      </c>
      <c r="M5" s="57">
        <f t="shared" si="3"/>
        <v>0.9917110716400237</v>
      </c>
      <c r="N5" s="57">
        <v>10.39</v>
      </c>
      <c r="O5" s="57">
        <v>76.95</v>
      </c>
      <c r="P5" s="57">
        <f t="shared" ref="P5:P32" si="5">O5/N5</f>
        <v>7.4061597690086618</v>
      </c>
      <c r="Q5" s="57"/>
      <c r="R5" s="57"/>
      <c r="S5" s="57"/>
      <c r="T5" s="57">
        <v>29.42</v>
      </c>
      <c r="U5" s="57">
        <v>55.13</v>
      </c>
      <c r="V5" s="57">
        <f t="shared" ref="V5:V32" si="6">U5/T5</f>
        <v>1.8738953093133923</v>
      </c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8">
        <f t="shared" si="0"/>
        <v>100.52800000000001</v>
      </c>
      <c r="BB5" s="58">
        <f t="shared" si="0"/>
        <v>333.69</v>
      </c>
      <c r="BC5" s="9">
        <f t="shared" si="4"/>
        <v>3.3193737068279483</v>
      </c>
    </row>
    <row r="6" spans="1:55" ht="15.6" x14ac:dyDescent="0.3">
      <c r="A6" s="56" t="s">
        <v>26</v>
      </c>
      <c r="B6" s="57"/>
      <c r="C6" s="57"/>
      <c r="D6" s="57"/>
      <c r="E6" s="57">
        <v>0.56000000000000005</v>
      </c>
      <c r="F6" s="57">
        <v>0.84</v>
      </c>
      <c r="G6" s="57">
        <f t="shared" si="1"/>
        <v>1.4999999999999998</v>
      </c>
      <c r="H6" s="57">
        <v>2.9</v>
      </c>
      <c r="I6" s="57">
        <v>3</v>
      </c>
      <c r="J6" s="57">
        <f t="shared" si="2"/>
        <v>1.0344827586206897</v>
      </c>
      <c r="K6" s="57">
        <v>3</v>
      </c>
      <c r="L6" s="57">
        <v>3</v>
      </c>
      <c r="M6" s="57">
        <f t="shared" si="3"/>
        <v>1</v>
      </c>
      <c r="N6" s="57">
        <v>4.25</v>
      </c>
      <c r="O6" s="57">
        <v>4</v>
      </c>
      <c r="P6" s="57">
        <f t="shared" si="5"/>
        <v>0.94117647058823528</v>
      </c>
      <c r="Q6" s="57"/>
      <c r="R6" s="57"/>
      <c r="S6" s="57"/>
      <c r="T6" s="57">
        <v>2.2999999999999998</v>
      </c>
      <c r="U6" s="57">
        <v>1.7</v>
      </c>
      <c r="V6" s="57">
        <f t="shared" si="6"/>
        <v>0.73913043478260876</v>
      </c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8">
        <f t="shared" si="0"/>
        <v>13.010000000000002</v>
      </c>
      <c r="BB6" s="58">
        <f t="shared" si="0"/>
        <v>12.54</v>
      </c>
      <c r="BC6" s="9">
        <f t="shared" si="4"/>
        <v>0.9638739431206762</v>
      </c>
    </row>
    <row r="7" spans="1:55" ht="15.6" x14ac:dyDescent="0.3">
      <c r="A7" s="56" t="s">
        <v>53</v>
      </c>
      <c r="B7" s="57"/>
      <c r="C7" s="57"/>
      <c r="D7" s="57"/>
      <c r="E7" s="57">
        <v>1.7390000000000001</v>
      </c>
      <c r="F7" s="57">
        <v>2.14</v>
      </c>
      <c r="G7" s="57">
        <f t="shared" si="1"/>
        <v>1.2305922944220817</v>
      </c>
      <c r="H7" s="57">
        <v>4.92</v>
      </c>
      <c r="I7" s="57">
        <v>4.4000000000000004</v>
      </c>
      <c r="J7" s="57">
        <f t="shared" si="2"/>
        <v>0.89430894308943099</v>
      </c>
      <c r="K7" s="57">
        <v>1.1000000000000001</v>
      </c>
      <c r="L7" s="57">
        <v>0.96</v>
      </c>
      <c r="M7" s="57">
        <f t="shared" si="3"/>
        <v>0.87272727272727257</v>
      </c>
      <c r="N7" s="57">
        <v>1.34</v>
      </c>
      <c r="O7" s="57">
        <v>3.6</v>
      </c>
      <c r="P7" s="57">
        <f t="shared" si="5"/>
        <v>2.6865671641791042</v>
      </c>
      <c r="Q7" s="57"/>
      <c r="R7" s="57"/>
      <c r="S7" s="57"/>
      <c r="T7" s="57">
        <v>2.65</v>
      </c>
      <c r="U7" s="57">
        <v>0.75</v>
      </c>
      <c r="V7" s="57">
        <f t="shared" si="6"/>
        <v>0.28301886792452829</v>
      </c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8">
        <f t="shared" si="0"/>
        <v>11.749000000000001</v>
      </c>
      <c r="BB7" s="58">
        <f t="shared" si="0"/>
        <v>11.850000000000001</v>
      </c>
      <c r="BC7" s="9">
        <f t="shared" si="4"/>
        <v>1.008596476295855</v>
      </c>
    </row>
    <row r="8" spans="1:55" ht="15.6" x14ac:dyDescent="0.3">
      <c r="A8" s="56" t="s">
        <v>29</v>
      </c>
      <c r="B8" s="57"/>
      <c r="C8" s="57"/>
      <c r="D8" s="57"/>
      <c r="E8" s="57">
        <v>4.6790000000000003</v>
      </c>
      <c r="F8" s="57">
        <v>102.58</v>
      </c>
      <c r="G8" s="57">
        <f t="shared" si="1"/>
        <v>21.923487924770249</v>
      </c>
      <c r="H8" s="57">
        <v>14.72</v>
      </c>
      <c r="I8" s="57">
        <v>26.91</v>
      </c>
      <c r="J8" s="57">
        <f t="shared" si="2"/>
        <v>1.828125</v>
      </c>
      <c r="K8" s="57">
        <v>3.55</v>
      </c>
      <c r="L8" s="57">
        <v>69.25</v>
      </c>
      <c r="M8" s="57">
        <f t="shared" si="3"/>
        <v>19.507042253521128</v>
      </c>
      <c r="N8" s="57">
        <v>40.6</v>
      </c>
      <c r="O8" s="57">
        <v>318.2</v>
      </c>
      <c r="P8" s="57">
        <f t="shared" si="5"/>
        <v>7.8374384236453194</v>
      </c>
      <c r="Q8" s="57"/>
      <c r="R8" s="57"/>
      <c r="S8" s="57"/>
      <c r="T8" s="57">
        <v>88.6</v>
      </c>
      <c r="U8" s="57">
        <v>138.80000000000001</v>
      </c>
      <c r="V8" s="57">
        <f t="shared" si="6"/>
        <v>1.5665914221218964</v>
      </c>
      <c r="W8" s="57">
        <v>295.39999999999998</v>
      </c>
      <c r="X8" s="57">
        <v>300.94</v>
      </c>
      <c r="Y8" s="57">
        <f>X8/W8</f>
        <v>1.0187542315504401</v>
      </c>
      <c r="Z8" s="57">
        <v>45.4</v>
      </c>
      <c r="AA8" s="57">
        <v>96.77</v>
      </c>
      <c r="AB8" s="57">
        <f>AA8/Z8</f>
        <v>2.1314977973568281</v>
      </c>
      <c r="AC8" s="57">
        <v>7.04</v>
      </c>
      <c r="AD8" s="57">
        <v>14.17</v>
      </c>
      <c r="AE8" s="57">
        <f>AD8/AC8</f>
        <v>2.0127840909090908</v>
      </c>
      <c r="AF8" s="57">
        <v>1.55</v>
      </c>
      <c r="AG8" s="57">
        <v>1.47</v>
      </c>
      <c r="AH8" s="57">
        <f t="shared" ref="AH8:AH32" si="7">AG8/AF8</f>
        <v>0.94838709677419353</v>
      </c>
      <c r="AI8" s="57">
        <v>7.2</v>
      </c>
      <c r="AJ8" s="57">
        <v>8.48</v>
      </c>
      <c r="AK8" s="57">
        <f>AJ8/AI8</f>
        <v>1.1777777777777778</v>
      </c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8">
        <f t="shared" si="0"/>
        <v>508.73899999999998</v>
      </c>
      <c r="BB8" s="58">
        <f t="shared" si="0"/>
        <v>1077.5700000000002</v>
      </c>
      <c r="BC8" s="9">
        <f t="shared" si="4"/>
        <v>2.1181195072522456</v>
      </c>
    </row>
    <row r="9" spans="1:55" ht="15.6" x14ac:dyDescent="0.3">
      <c r="A9" s="56" t="s">
        <v>30</v>
      </c>
      <c r="B9" s="57"/>
      <c r="C9" s="57"/>
      <c r="D9" s="57"/>
      <c r="E9" s="57">
        <v>0.44500000000000001</v>
      </c>
      <c r="F9" s="57">
        <v>5.65</v>
      </c>
      <c r="G9" s="57">
        <f t="shared" si="1"/>
        <v>12.696629213483147</v>
      </c>
      <c r="H9" s="57">
        <v>2.4300000000000002</v>
      </c>
      <c r="I9" s="57">
        <v>4.22</v>
      </c>
      <c r="J9" s="57">
        <f t="shared" si="2"/>
        <v>1.736625514403292</v>
      </c>
      <c r="K9" s="57">
        <v>1.33</v>
      </c>
      <c r="L9" s="57">
        <v>23.84</v>
      </c>
      <c r="M9" s="57">
        <f t="shared" si="3"/>
        <v>17.924812030075188</v>
      </c>
      <c r="N9" s="57">
        <v>4.4400000000000004</v>
      </c>
      <c r="O9" s="57">
        <v>35.83</v>
      </c>
      <c r="P9" s="57">
        <f t="shared" si="5"/>
        <v>8.0698198198198181</v>
      </c>
      <c r="Q9" s="57"/>
      <c r="R9" s="57"/>
      <c r="S9" s="57"/>
      <c r="T9" s="57">
        <v>2.4300000000000002</v>
      </c>
      <c r="U9" s="57">
        <v>4.41</v>
      </c>
      <c r="V9" s="57">
        <f t="shared" si="6"/>
        <v>1.8148148148148147</v>
      </c>
      <c r="W9" s="57"/>
      <c r="X9" s="57"/>
      <c r="Y9" s="57"/>
      <c r="Z9" s="57">
        <v>0.27</v>
      </c>
      <c r="AA9" s="57">
        <v>0.17</v>
      </c>
      <c r="AB9" s="57">
        <f t="shared" ref="AB9:AB32" si="8">AA9/Z9</f>
        <v>0.62962962962962965</v>
      </c>
      <c r="AC9" s="57">
        <v>4.78</v>
      </c>
      <c r="AD9" s="57">
        <v>8.6999999999999993</v>
      </c>
      <c r="AE9" s="57">
        <f t="shared" ref="AE9:AE32" si="9">AD9/AC9</f>
        <v>1.8200836820083679</v>
      </c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8">
        <f t="shared" si="0"/>
        <v>16.125</v>
      </c>
      <c r="BB9" s="58">
        <f t="shared" si="0"/>
        <v>82.82</v>
      </c>
      <c r="BC9" s="9">
        <f t="shared" si="4"/>
        <v>5.1361240310077516</v>
      </c>
    </row>
    <row r="10" spans="1:55" ht="15.6" x14ac:dyDescent="0.3">
      <c r="A10" s="56" t="s">
        <v>31</v>
      </c>
      <c r="B10" s="57"/>
      <c r="C10" s="57"/>
      <c r="D10" s="57"/>
      <c r="E10" s="57">
        <v>2.27</v>
      </c>
      <c r="F10" s="57">
        <v>14.58</v>
      </c>
      <c r="G10" s="57">
        <f t="shared" si="1"/>
        <v>6.4229074889867839</v>
      </c>
      <c r="H10" s="57">
        <v>0.55000000000000004</v>
      </c>
      <c r="I10" s="57">
        <v>0.36</v>
      </c>
      <c r="J10" s="57">
        <f t="shared" si="2"/>
        <v>0.65454545454545443</v>
      </c>
      <c r="K10" s="57">
        <v>0.26</v>
      </c>
      <c r="L10" s="57">
        <v>0.43</v>
      </c>
      <c r="M10" s="57">
        <f t="shared" si="3"/>
        <v>1.6538461538461537</v>
      </c>
      <c r="N10" s="57">
        <v>4.57</v>
      </c>
      <c r="O10" s="57">
        <v>9.35</v>
      </c>
      <c r="P10" s="57">
        <f t="shared" si="5"/>
        <v>2.0459518599562361</v>
      </c>
      <c r="Q10" s="57"/>
      <c r="R10" s="57"/>
      <c r="S10" s="57"/>
      <c r="T10" s="57">
        <v>0.17</v>
      </c>
      <c r="U10" s="57">
        <v>0.19</v>
      </c>
      <c r="V10" s="57">
        <f t="shared" si="6"/>
        <v>1.1176470588235294</v>
      </c>
      <c r="W10" s="57">
        <v>0.08</v>
      </c>
      <c r="X10" s="57">
        <v>0.02</v>
      </c>
      <c r="Y10" s="57">
        <f t="shared" ref="Y10:Y32" si="10">X10/W10</f>
        <v>0.25</v>
      </c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8">
        <f t="shared" si="0"/>
        <v>7.9</v>
      </c>
      <c r="BB10" s="58">
        <f t="shared" si="0"/>
        <v>24.93</v>
      </c>
      <c r="BC10" s="9">
        <f t="shared" si="4"/>
        <v>3.1556962025316455</v>
      </c>
    </row>
    <row r="11" spans="1:55" ht="15.6" x14ac:dyDescent="0.3">
      <c r="A11" s="56" t="s">
        <v>32</v>
      </c>
      <c r="B11" s="57"/>
      <c r="C11" s="57"/>
      <c r="D11" s="57"/>
      <c r="E11" s="57">
        <v>2.1000000000000001E-2</v>
      </c>
      <c r="F11" s="57">
        <v>0.03</v>
      </c>
      <c r="G11" s="57">
        <f t="shared" si="1"/>
        <v>1.4285714285714284</v>
      </c>
      <c r="H11" s="57">
        <v>0.62</v>
      </c>
      <c r="I11" s="57">
        <v>0.35</v>
      </c>
      <c r="J11" s="57">
        <f t="shared" si="2"/>
        <v>0.56451612903225801</v>
      </c>
      <c r="K11" s="57">
        <v>0.01</v>
      </c>
      <c r="L11" s="57">
        <v>0.01</v>
      </c>
      <c r="M11" s="57">
        <f t="shared" si="3"/>
        <v>1</v>
      </c>
      <c r="N11" s="57">
        <v>0.71</v>
      </c>
      <c r="O11" s="57">
        <v>0.56000000000000005</v>
      </c>
      <c r="P11" s="57">
        <f t="shared" si="5"/>
        <v>0.78873239436619724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>
        <v>3.56</v>
      </c>
      <c r="AY11" s="57">
        <v>0.01</v>
      </c>
      <c r="AZ11" s="57">
        <f t="shared" ref="AZ11:AZ14" si="11">AY11/AX11</f>
        <v>2.8089887640449437E-3</v>
      </c>
      <c r="BA11" s="58">
        <f t="shared" si="0"/>
        <v>4.9210000000000003</v>
      </c>
      <c r="BB11" s="58">
        <f t="shared" si="0"/>
        <v>0.96000000000000008</v>
      </c>
      <c r="BC11" s="9">
        <f t="shared" si="4"/>
        <v>0.19508230034545823</v>
      </c>
    </row>
    <row r="12" spans="1:55" ht="15.6" x14ac:dyDescent="0.3">
      <c r="A12" s="56" t="s">
        <v>33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8">
        <f t="shared" si="0"/>
        <v>0</v>
      </c>
      <c r="BB12" s="58">
        <f t="shared" si="0"/>
        <v>0</v>
      </c>
      <c r="BC12" s="49">
        <v>0</v>
      </c>
    </row>
    <row r="13" spans="1:55" ht="15.6" x14ac:dyDescent="0.3">
      <c r="A13" s="56" t="s">
        <v>34</v>
      </c>
      <c r="B13" s="57">
        <v>32.67</v>
      </c>
      <c r="C13" s="57">
        <v>19.190000000000001</v>
      </c>
      <c r="D13" s="57">
        <f t="shared" ref="D13:D32" si="12">C13/B13</f>
        <v>0.58738904193449648</v>
      </c>
      <c r="E13" s="57">
        <v>30.786999999999999</v>
      </c>
      <c r="F13" s="57">
        <v>89.44</v>
      </c>
      <c r="G13" s="57">
        <f t="shared" si="1"/>
        <v>2.9051222918764412</v>
      </c>
      <c r="H13" s="57">
        <v>95.45</v>
      </c>
      <c r="I13" s="57">
        <v>118.49</v>
      </c>
      <c r="J13" s="57">
        <f t="shared" si="2"/>
        <v>1.2413829229963331</v>
      </c>
      <c r="K13" s="57">
        <v>12.82</v>
      </c>
      <c r="L13" s="57">
        <v>76.78</v>
      </c>
      <c r="M13" s="57">
        <f t="shared" si="3"/>
        <v>5.9890795631825275</v>
      </c>
      <c r="N13" s="57">
        <v>4.7300000000000004</v>
      </c>
      <c r="O13" s="57">
        <v>5.19</v>
      </c>
      <c r="P13" s="57">
        <f t="shared" si="5"/>
        <v>1.0972515856236786</v>
      </c>
      <c r="Q13" s="57">
        <v>18.25</v>
      </c>
      <c r="R13" s="57">
        <v>1.43</v>
      </c>
      <c r="S13" s="57">
        <f>R13/Q13</f>
        <v>7.8356164383561647E-2</v>
      </c>
      <c r="T13" s="57">
        <v>4.34</v>
      </c>
      <c r="U13" s="57">
        <v>1.47</v>
      </c>
      <c r="V13" s="57">
        <f t="shared" si="6"/>
        <v>0.33870967741935487</v>
      </c>
      <c r="W13" s="57"/>
      <c r="X13" s="57"/>
      <c r="Y13" s="57"/>
      <c r="Z13" s="57"/>
      <c r="AA13" s="57"/>
      <c r="AB13" s="57"/>
      <c r="AC13" s="57">
        <v>0.47</v>
      </c>
      <c r="AD13" s="57">
        <v>1.1100000000000001</v>
      </c>
      <c r="AE13" s="57">
        <f t="shared" si="9"/>
        <v>2.3617021276595747</v>
      </c>
      <c r="AF13" s="57"/>
      <c r="AG13" s="57"/>
      <c r="AH13" s="57"/>
      <c r="AI13" s="57">
        <v>0.38</v>
      </c>
      <c r="AJ13" s="57">
        <v>1.76</v>
      </c>
      <c r="AK13" s="57">
        <f t="shared" ref="AK13:AK32" si="13">AJ13/AI13</f>
        <v>4.6315789473684212</v>
      </c>
      <c r="AL13" s="57">
        <v>0.03</v>
      </c>
      <c r="AM13" s="57">
        <v>0.01</v>
      </c>
      <c r="AN13" s="57">
        <f>AM13/AL13</f>
        <v>0.33333333333333337</v>
      </c>
      <c r="AO13" s="57">
        <v>0.32</v>
      </c>
      <c r="AP13" s="57">
        <v>0.2</v>
      </c>
      <c r="AQ13" s="57">
        <f>AP13/AO13</f>
        <v>0.625</v>
      </c>
      <c r="AR13" s="57">
        <v>0.12</v>
      </c>
      <c r="AS13" s="57">
        <v>0.17</v>
      </c>
      <c r="AT13" s="57">
        <f>AS13/AR13</f>
        <v>1.4166666666666667</v>
      </c>
      <c r="AU13" s="57">
        <v>14.9</v>
      </c>
      <c r="AV13" s="57">
        <v>72.150000000000006</v>
      </c>
      <c r="AW13" s="57">
        <f>AV13/AU13</f>
        <v>4.8422818791946307</v>
      </c>
      <c r="AX13" s="57">
        <v>0.69</v>
      </c>
      <c r="AY13" s="57">
        <v>0.23</v>
      </c>
      <c r="AZ13" s="57">
        <f t="shared" si="11"/>
        <v>0.33333333333333337</v>
      </c>
      <c r="BA13" s="58">
        <f t="shared" si="0"/>
        <v>215.95699999999999</v>
      </c>
      <c r="BB13" s="58">
        <f t="shared" si="0"/>
        <v>387.62</v>
      </c>
      <c r="BC13" s="9">
        <f t="shared" si="4"/>
        <v>1.7948943539686142</v>
      </c>
    </row>
    <row r="14" spans="1:55" ht="15.6" x14ac:dyDescent="0.3">
      <c r="A14" s="56" t="s">
        <v>35</v>
      </c>
      <c r="B14" s="57">
        <v>84.84</v>
      </c>
      <c r="C14" s="57">
        <v>30.47</v>
      </c>
      <c r="D14" s="57">
        <f t="shared" si="12"/>
        <v>0.3591466289486091</v>
      </c>
      <c r="E14" s="57">
        <v>4.875</v>
      </c>
      <c r="F14" s="57">
        <v>21.96</v>
      </c>
      <c r="G14" s="57">
        <f t="shared" si="1"/>
        <v>4.5046153846153851</v>
      </c>
      <c r="H14" s="57">
        <v>1.58</v>
      </c>
      <c r="I14" s="57">
        <v>1.49</v>
      </c>
      <c r="J14" s="57">
        <f t="shared" si="2"/>
        <v>0.94303797468354422</v>
      </c>
      <c r="K14" s="57">
        <v>2.5299999999999998</v>
      </c>
      <c r="L14" s="57">
        <v>6.5</v>
      </c>
      <c r="M14" s="57">
        <f t="shared" si="3"/>
        <v>2.5691699604743086</v>
      </c>
      <c r="N14" s="57">
        <v>0.06</v>
      </c>
      <c r="O14" s="57">
        <v>0.37</v>
      </c>
      <c r="P14" s="57">
        <f t="shared" si="5"/>
        <v>6.166666666666667</v>
      </c>
      <c r="Q14" s="57">
        <v>39.729999999999997</v>
      </c>
      <c r="R14" s="57">
        <v>16</v>
      </c>
      <c r="S14" s="57">
        <f t="shared" ref="S14:S32" si="14">R14/Q14</f>
        <v>0.4027183488547697</v>
      </c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>
        <v>0.11</v>
      </c>
      <c r="AM14" s="57">
        <v>0</v>
      </c>
      <c r="AN14" s="57">
        <f t="shared" ref="AN14:AN32" si="15">AM14/AL14</f>
        <v>0</v>
      </c>
      <c r="AO14" s="57">
        <v>20.63</v>
      </c>
      <c r="AP14" s="57">
        <v>14.19</v>
      </c>
      <c r="AQ14" s="57">
        <f t="shared" ref="AQ14:AQ32" si="16">AP14/AO14</f>
        <v>0.68783325254483763</v>
      </c>
      <c r="AR14" s="57">
        <v>1.07</v>
      </c>
      <c r="AS14" s="57">
        <v>0.08</v>
      </c>
      <c r="AT14" s="57">
        <f t="shared" ref="AT14:AT32" si="17">AS14/AR14</f>
        <v>7.476635514018691E-2</v>
      </c>
      <c r="AU14" s="57">
        <v>11.24</v>
      </c>
      <c r="AV14" s="57">
        <v>37.299999999999997</v>
      </c>
      <c r="AW14" s="57">
        <f t="shared" ref="AW14:AW32" si="18">AV14/AU14</f>
        <v>3.3185053380782916</v>
      </c>
      <c r="AX14" s="57">
        <v>0.15</v>
      </c>
      <c r="AY14" s="57">
        <v>0.04</v>
      </c>
      <c r="AZ14" s="57">
        <f t="shared" si="11"/>
        <v>0.26666666666666666</v>
      </c>
      <c r="BA14" s="58">
        <f t="shared" si="0"/>
        <v>166.81500000000003</v>
      </c>
      <c r="BB14" s="58">
        <f t="shared" si="0"/>
        <v>128.39999999999998</v>
      </c>
      <c r="BC14" s="9">
        <f t="shared" si="4"/>
        <v>0.76971495369121457</v>
      </c>
    </row>
    <row r="15" spans="1:55" ht="15.6" x14ac:dyDescent="0.3">
      <c r="A15" s="56" t="s">
        <v>36</v>
      </c>
      <c r="B15" s="57"/>
      <c r="C15" s="57"/>
      <c r="D15" s="57"/>
      <c r="E15" s="57">
        <v>10.912000000000001</v>
      </c>
      <c r="F15" s="57">
        <v>18.86</v>
      </c>
      <c r="G15" s="57">
        <f t="shared" si="1"/>
        <v>1.7283724340175952</v>
      </c>
      <c r="H15" s="57">
        <v>72.13</v>
      </c>
      <c r="I15" s="57">
        <v>132.44</v>
      </c>
      <c r="J15" s="57">
        <f t="shared" si="2"/>
        <v>1.836129211146541</v>
      </c>
      <c r="K15" s="57">
        <v>1.42</v>
      </c>
      <c r="L15" s="57">
        <v>1.61</v>
      </c>
      <c r="M15" s="57">
        <f t="shared" si="3"/>
        <v>1.1338028169014085</v>
      </c>
      <c r="N15" s="57">
        <v>81.17</v>
      </c>
      <c r="O15" s="57">
        <v>424.5</v>
      </c>
      <c r="P15" s="57">
        <f t="shared" si="5"/>
        <v>5.2297646913884437</v>
      </c>
      <c r="Q15" s="57"/>
      <c r="R15" s="57"/>
      <c r="S15" s="57"/>
      <c r="T15" s="57">
        <v>165.18</v>
      </c>
      <c r="U15" s="57">
        <v>108.49</v>
      </c>
      <c r="V15" s="57">
        <f t="shared" si="6"/>
        <v>0.65679864390362019</v>
      </c>
      <c r="W15" s="57"/>
      <c r="X15" s="57"/>
      <c r="Y15" s="57"/>
      <c r="Z15" s="57">
        <v>0.94</v>
      </c>
      <c r="AA15" s="57">
        <v>0</v>
      </c>
      <c r="AB15" s="57">
        <f t="shared" si="8"/>
        <v>0</v>
      </c>
      <c r="AC15" s="57">
        <v>34.29</v>
      </c>
      <c r="AD15" s="57">
        <v>25</v>
      </c>
      <c r="AE15" s="57">
        <f t="shared" si="9"/>
        <v>0.72907553222513855</v>
      </c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8">
        <f t="shared" si="0"/>
        <v>366.04200000000003</v>
      </c>
      <c r="BB15" s="58">
        <f t="shared" si="0"/>
        <v>710.90000000000009</v>
      </c>
      <c r="BC15" s="9">
        <f t="shared" si="4"/>
        <v>1.9421268597592627</v>
      </c>
    </row>
    <row r="16" spans="1:55" ht="15.6" x14ac:dyDescent="0.3">
      <c r="A16" s="56" t="s">
        <v>37</v>
      </c>
      <c r="B16" s="57">
        <v>0.09</v>
      </c>
      <c r="C16" s="57">
        <v>0.1</v>
      </c>
      <c r="D16" s="57">
        <f t="shared" si="12"/>
        <v>1.1111111111111112</v>
      </c>
      <c r="E16" s="57">
        <v>11.67</v>
      </c>
      <c r="F16" s="57">
        <v>209.41</v>
      </c>
      <c r="G16" s="57">
        <f t="shared" si="1"/>
        <v>17.944301628106256</v>
      </c>
      <c r="H16" s="57">
        <v>99.5</v>
      </c>
      <c r="I16" s="57">
        <v>45.6</v>
      </c>
      <c r="J16" s="57">
        <f t="shared" si="2"/>
        <v>0.45829145728643217</v>
      </c>
      <c r="K16" s="57">
        <v>9.61</v>
      </c>
      <c r="L16" s="57">
        <v>136.87</v>
      </c>
      <c r="M16" s="57">
        <f t="shared" si="3"/>
        <v>14.242455775234133</v>
      </c>
      <c r="N16" s="57">
        <v>2.0499999999999998</v>
      </c>
      <c r="O16" s="57">
        <v>12.69</v>
      </c>
      <c r="P16" s="57">
        <f t="shared" si="5"/>
        <v>6.1902439024390246</v>
      </c>
      <c r="Q16" s="57"/>
      <c r="R16" s="57"/>
      <c r="S16" s="57"/>
      <c r="T16" s="57">
        <v>0.04</v>
      </c>
      <c r="U16" s="57">
        <v>0.1</v>
      </c>
      <c r="V16" s="57">
        <f t="shared" si="6"/>
        <v>2.5</v>
      </c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>
        <v>0.03</v>
      </c>
      <c r="AM16" s="57">
        <v>0.02</v>
      </c>
      <c r="AN16" s="57">
        <f t="shared" si="15"/>
        <v>0.66666666666666674</v>
      </c>
      <c r="AO16" s="57">
        <v>0.01</v>
      </c>
      <c r="AP16" s="57">
        <v>0.01</v>
      </c>
      <c r="AQ16" s="57">
        <f t="shared" si="16"/>
        <v>1</v>
      </c>
      <c r="AR16" s="57"/>
      <c r="AS16" s="57"/>
      <c r="AT16" s="57"/>
      <c r="AU16" s="57">
        <v>5.7</v>
      </c>
      <c r="AV16" s="57">
        <v>11.4</v>
      </c>
      <c r="AW16" s="57">
        <f t="shared" si="18"/>
        <v>2</v>
      </c>
      <c r="AX16" s="57"/>
      <c r="AY16" s="57"/>
      <c r="AZ16" s="57"/>
      <c r="BA16" s="58">
        <f t="shared" si="0"/>
        <v>128.70000000000002</v>
      </c>
      <c r="BB16" s="58">
        <f t="shared" si="0"/>
        <v>416.2</v>
      </c>
      <c r="BC16" s="9">
        <f t="shared" si="4"/>
        <v>3.2338772338772332</v>
      </c>
    </row>
    <row r="17" spans="1:55" ht="15.6" x14ac:dyDescent="0.3">
      <c r="A17" s="60" t="s">
        <v>38</v>
      </c>
      <c r="B17" s="57"/>
      <c r="C17" s="57"/>
      <c r="D17" s="57"/>
      <c r="E17" s="57">
        <v>2.4</v>
      </c>
      <c r="F17" s="57">
        <v>3.84</v>
      </c>
      <c r="G17" s="57">
        <f t="shared" si="1"/>
        <v>1.6</v>
      </c>
      <c r="H17" s="57">
        <v>6.5</v>
      </c>
      <c r="I17" s="57">
        <v>3.9</v>
      </c>
      <c r="J17" s="57">
        <f t="shared" si="2"/>
        <v>0.6</v>
      </c>
      <c r="K17" s="57">
        <v>1.4</v>
      </c>
      <c r="L17" s="57">
        <v>16.399999999999999</v>
      </c>
      <c r="M17" s="57">
        <f t="shared" si="3"/>
        <v>11.714285714285714</v>
      </c>
      <c r="N17" s="57">
        <v>0.17</v>
      </c>
      <c r="O17" s="57">
        <v>0</v>
      </c>
      <c r="P17" s="57">
        <f t="shared" si="5"/>
        <v>0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8">
        <f t="shared" si="0"/>
        <v>10.47</v>
      </c>
      <c r="BB17" s="58">
        <f t="shared" si="0"/>
        <v>24.14</v>
      </c>
      <c r="BC17" s="9">
        <f t="shared" si="4"/>
        <v>2.305635148042025</v>
      </c>
    </row>
    <row r="18" spans="1:55" ht="15.6" x14ac:dyDescent="0.3">
      <c r="A18" s="56" t="s">
        <v>39</v>
      </c>
      <c r="B18" s="57">
        <v>1</v>
      </c>
      <c r="C18" s="57">
        <v>0.73</v>
      </c>
      <c r="D18" s="57">
        <f t="shared" si="12"/>
        <v>0.73</v>
      </c>
      <c r="E18" s="57">
        <v>9.8510000000000009</v>
      </c>
      <c r="F18" s="57">
        <v>65.430000000000007</v>
      </c>
      <c r="G18" s="57">
        <f t="shared" si="1"/>
        <v>6.6419652827124152</v>
      </c>
      <c r="H18" s="57">
        <v>2.25</v>
      </c>
      <c r="I18" s="57">
        <v>2.08</v>
      </c>
      <c r="J18" s="57">
        <f t="shared" si="2"/>
        <v>0.92444444444444451</v>
      </c>
      <c r="K18" s="57">
        <v>2.54</v>
      </c>
      <c r="L18" s="57">
        <v>15.86</v>
      </c>
      <c r="M18" s="57">
        <f t="shared" si="3"/>
        <v>6.2440944881889759</v>
      </c>
      <c r="N18" s="57">
        <v>0.28000000000000003</v>
      </c>
      <c r="O18" s="57">
        <v>1.1100000000000001</v>
      </c>
      <c r="P18" s="57">
        <f t="shared" si="5"/>
        <v>3.9642857142857144</v>
      </c>
      <c r="Q18" s="57"/>
      <c r="R18" s="57"/>
      <c r="S18" s="57"/>
      <c r="T18" s="57">
        <v>0.01</v>
      </c>
      <c r="U18" s="57">
        <v>0.05</v>
      </c>
      <c r="V18" s="57">
        <f t="shared" si="6"/>
        <v>5</v>
      </c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>
        <v>2.44</v>
      </c>
      <c r="AM18" s="57">
        <v>5</v>
      </c>
      <c r="AN18" s="57">
        <f t="shared" si="15"/>
        <v>2.0491803278688523</v>
      </c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8">
        <f t="shared" si="0"/>
        <v>18.371000000000002</v>
      </c>
      <c r="BB18" s="58">
        <f t="shared" si="0"/>
        <v>90.26</v>
      </c>
      <c r="BC18" s="9">
        <f t="shared" si="4"/>
        <v>4.9131783789668493</v>
      </c>
    </row>
    <row r="19" spans="1:55" ht="15.6" x14ac:dyDescent="0.3">
      <c r="A19" s="56" t="s">
        <v>40</v>
      </c>
      <c r="B19" s="57">
        <v>7.0000000000000007E-2</v>
      </c>
      <c r="C19" s="57">
        <v>0</v>
      </c>
      <c r="D19" s="57">
        <f t="shared" si="12"/>
        <v>0</v>
      </c>
      <c r="E19" s="57">
        <v>8.0670000000000002</v>
      </c>
      <c r="F19" s="57">
        <v>31.68</v>
      </c>
      <c r="G19" s="57">
        <f t="shared" si="1"/>
        <v>3.9271104499814058</v>
      </c>
      <c r="H19" s="57">
        <v>9.14</v>
      </c>
      <c r="I19" s="57">
        <v>9.33</v>
      </c>
      <c r="J19" s="57">
        <f t="shared" si="2"/>
        <v>1.0207877461706782</v>
      </c>
      <c r="K19" s="57">
        <v>7.2</v>
      </c>
      <c r="L19" s="57">
        <v>27.82</v>
      </c>
      <c r="M19" s="57">
        <f t="shared" si="3"/>
        <v>3.8638888888888889</v>
      </c>
      <c r="N19" s="57">
        <v>0.02</v>
      </c>
      <c r="O19" s="57">
        <v>0.01</v>
      </c>
      <c r="P19" s="57">
        <f t="shared" si="5"/>
        <v>0.5</v>
      </c>
      <c r="Q19" s="57"/>
      <c r="R19" s="57"/>
      <c r="S19" s="57"/>
      <c r="T19" s="57">
        <v>0.06</v>
      </c>
      <c r="U19" s="57">
        <v>0.02</v>
      </c>
      <c r="V19" s="57">
        <f t="shared" si="6"/>
        <v>0.33333333333333337</v>
      </c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>
        <v>0.01</v>
      </c>
      <c r="AV19" s="57">
        <v>0.03</v>
      </c>
      <c r="AW19" s="57">
        <f t="shared" si="18"/>
        <v>3</v>
      </c>
      <c r="AX19" s="57"/>
      <c r="AY19" s="57"/>
      <c r="AZ19" s="57"/>
      <c r="BA19" s="58">
        <f t="shared" si="0"/>
        <v>24.567</v>
      </c>
      <c r="BB19" s="58">
        <f t="shared" si="0"/>
        <v>68.89</v>
      </c>
      <c r="BC19" s="9">
        <f t="shared" si="4"/>
        <v>2.8041681931045712</v>
      </c>
    </row>
    <row r="20" spans="1:55" ht="15.6" x14ac:dyDescent="0.3">
      <c r="A20" s="59" t="s">
        <v>41</v>
      </c>
      <c r="B20" s="57">
        <v>0.15</v>
      </c>
      <c r="C20" s="57">
        <v>0.03</v>
      </c>
      <c r="D20" s="57">
        <f t="shared" si="12"/>
        <v>0.2</v>
      </c>
      <c r="E20" s="57">
        <v>3.7349999999999999</v>
      </c>
      <c r="F20" s="57">
        <v>55.23</v>
      </c>
      <c r="G20" s="57">
        <f t="shared" si="1"/>
        <v>14.787148594377509</v>
      </c>
      <c r="H20" s="57">
        <v>6.81</v>
      </c>
      <c r="I20" s="57">
        <v>50.39</v>
      </c>
      <c r="J20" s="57">
        <f t="shared" si="2"/>
        <v>7.3994126284875188</v>
      </c>
      <c r="K20" s="57">
        <v>0.69</v>
      </c>
      <c r="L20" s="57">
        <v>9.1199999999999992</v>
      </c>
      <c r="M20" s="57">
        <f t="shared" si="3"/>
        <v>13.217391304347826</v>
      </c>
      <c r="N20" s="57">
        <v>0.28999999999999998</v>
      </c>
      <c r="O20" s="57">
        <v>2.89</v>
      </c>
      <c r="P20" s="57">
        <f t="shared" si="5"/>
        <v>9.9655172413793114</v>
      </c>
      <c r="Q20" s="57">
        <v>3.23</v>
      </c>
      <c r="R20" s="57">
        <v>1.41</v>
      </c>
      <c r="S20" s="57">
        <f t="shared" si="14"/>
        <v>0.43653250773993807</v>
      </c>
      <c r="T20" s="57">
        <v>0.09</v>
      </c>
      <c r="U20" s="57">
        <v>0.18</v>
      </c>
      <c r="V20" s="57">
        <f t="shared" si="6"/>
        <v>2</v>
      </c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8">
        <f t="shared" si="0"/>
        <v>14.994999999999999</v>
      </c>
      <c r="BB20" s="58">
        <f t="shared" si="0"/>
        <v>119.25000000000001</v>
      </c>
      <c r="BC20" s="9">
        <f t="shared" si="4"/>
        <v>7.9526508836278778</v>
      </c>
    </row>
    <row r="21" spans="1:55" ht="15.6" x14ac:dyDescent="0.3">
      <c r="A21" s="56" t="s">
        <v>42</v>
      </c>
      <c r="B21" s="57"/>
      <c r="C21" s="57"/>
      <c r="D21" s="57"/>
      <c r="E21" s="57">
        <v>15.843999999999999</v>
      </c>
      <c r="F21" s="57">
        <v>35</v>
      </c>
      <c r="G21" s="57">
        <f t="shared" si="1"/>
        <v>2.2090381216864428</v>
      </c>
      <c r="H21" s="57">
        <v>75</v>
      </c>
      <c r="I21" s="57">
        <v>70</v>
      </c>
      <c r="J21" s="57">
        <f t="shared" si="2"/>
        <v>0.93333333333333335</v>
      </c>
      <c r="K21" s="57">
        <v>2.48</v>
      </c>
      <c r="L21" s="57">
        <v>30</v>
      </c>
      <c r="M21" s="57">
        <f t="shared" si="3"/>
        <v>12.096774193548388</v>
      </c>
      <c r="N21" s="57">
        <v>10.9</v>
      </c>
      <c r="O21" s="57">
        <v>35.5</v>
      </c>
      <c r="P21" s="57">
        <f t="shared" si="5"/>
        <v>3.2568807339449539</v>
      </c>
      <c r="Q21" s="57"/>
      <c r="R21" s="57"/>
      <c r="S21" s="57"/>
      <c r="T21" s="57">
        <v>19.100000000000001</v>
      </c>
      <c r="U21" s="57">
        <v>11</v>
      </c>
      <c r="V21" s="57">
        <f t="shared" si="6"/>
        <v>0.57591623036649209</v>
      </c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8">
        <f t="shared" si="0"/>
        <v>123.32400000000001</v>
      </c>
      <c r="BB21" s="58">
        <f t="shared" si="0"/>
        <v>181.5</v>
      </c>
      <c r="BC21" s="9">
        <f t="shared" si="4"/>
        <v>1.4717329960105088</v>
      </c>
    </row>
    <row r="22" spans="1:55" ht="15.6" x14ac:dyDescent="0.3">
      <c r="A22" s="56" t="s">
        <v>44</v>
      </c>
      <c r="B22" s="57"/>
      <c r="C22" s="57"/>
      <c r="D22" s="57"/>
      <c r="E22" s="57"/>
      <c r="F22" s="57"/>
      <c r="G22" s="57"/>
      <c r="H22" s="57">
        <v>7.5</v>
      </c>
      <c r="I22" s="57">
        <v>14.08</v>
      </c>
      <c r="J22" s="57">
        <f t="shared" si="2"/>
        <v>1.8773333333333333</v>
      </c>
      <c r="K22" s="57">
        <v>0.9</v>
      </c>
      <c r="L22" s="57">
        <v>3.19</v>
      </c>
      <c r="M22" s="57">
        <f t="shared" si="3"/>
        <v>3.5444444444444443</v>
      </c>
      <c r="N22" s="57">
        <v>6.46</v>
      </c>
      <c r="O22" s="57">
        <v>73.739999999999995</v>
      </c>
      <c r="P22" s="57">
        <f t="shared" si="5"/>
        <v>11.414860681114551</v>
      </c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>
        <v>12.46</v>
      </c>
      <c r="AD22" s="57">
        <v>2.36</v>
      </c>
      <c r="AE22" s="57">
        <f t="shared" si="9"/>
        <v>0.18940609951845905</v>
      </c>
      <c r="AF22" s="57"/>
      <c r="AG22" s="57"/>
      <c r="AH22" s="57"/>
      <c r="AI22" s="57">
        <v>4.01</v>
      </c>
      <c r="AJ22" s="57">
        <v>5.51</v>
      </c>
      <c r="AK22" s="57">
        <f t="shared" si="13"/>
        <v>1.3740648379052369</v>
      </c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8">
        <f t="shared" si="0"/>
        <v>31.33</v>
      </c>
      <c r="BB22" s="58">
        <f t="shared" si="0"/>
        <v>98.88</v>
      </c>
      <c r="BC22" s="9">
        <f t="shared" si="4"/>
        <v>3.1560804340887327</v>
      </c>
    </row>
    <row r="23" spans="1:55" ht="15.6" x14ac:dyDescent="0.3">
      <c r="A23" s="56" t="s">
        <v>45</v>
      </c>
      <c r="B23" s="57"/>
      <c r="C23" s="57"/>
      <c r="D23" s="57"/>
      <c r="E23" s="57">
        <v>0.13</v>
      </c>
      <c r="F23" s="57">
        <v>0.28999999999999998</v>
      </c>
      <c r="G23" s="57">
        <f t="shared" si="1"/>
        <v>2.2307692307692304</v>
      </c>
      <c r="H23" s="57">
        <v>12.32</v>
      </c>
      <c r="I23" s="57">
        <v>18.22</v>
      </c>
      <c r="J23" s="57">
        <f t="shared" si="2"/>
        <v>1.4788961038961037</v>
      </c>
      <c r="K23" s="57">
        <v>0.14000000000000001</v>
      </c>
      <c r="L23" s="57">
        <v>0.37</v>
      </c>
      <c r="M23" s="57">
        <f t="shared" si="3"/>
        <v>2.6428571428571428</v>
      </c>
      <c r="N23" s="57">
        <v>69.099999999999994</v>
      </c>
      <c r="O23" s="57">
        <v>377.49</v>
      </c>
      <c r="P23" s="57">
        <f t="shared" si="5"/>
        <v>5.4629522431259048</v>
      </c>
      <c r="Q23" s="57"/>
      <c r="R23" s="57"/>
      <c r="S23" s="57"/>
      <c r="T23" s="57">
        <v>212.73</v>
      </c>
      <c r="U23" s="57">
        <v>227.2</v>
      </c>
      <c r="V23" s="57">
        <f t="shared" si="6"/>
        <v>1.0680204954637333</v>
      </c>
      <c r="W23" s="57">
        <v>511.08</v>
      </c>
      <c r="X23" s="57">
        <v>200.85</v>
      </c>
      <c r="Y23" s="57">
        <f t="shared" si="10"/>
        <v>0.39299131251467478</v>
      </c>
      <c r="Z23" s="57">
        <v>27.59</v>
      </c>
      <c r="AA23" s="57">
        <v>30.72</v>
      </c>
      <c r="AB23" s="57">
        <f t="shared" si="8"/>
        <v>1.1134469010511054</v>
      </c>
      <c r="AC23" s="57">
        <v>157</v>
      </c>
      <c r="AD23" s="57">
        <v>190.36</v>
      </c>
      <c r="AE23" s="57">
        <f t="shared" si="9"/>
        <v>1.2124840764331211</v>
      </c>
      <c r="AF23" s="57">
        <v>11.66</v>
      </c>
      <c r="AG23" s="57">
        <v>4.67</v>
      </c>
      <c r="AH23" s="57">
        <f t="shared" si="7"/>
        <v>0.40051457975986277</v>
      </c>
      <c r="AI23" s="57">
        <v>12.8</v>
      </c>
      <c r="AJ23" s="57">
        <v>6</v>
      </c>
      <c r="AK23" s="57">
        <f t="shared" si="13"/>
        <v>0.46875</v>
      </c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8">
        <f t="shared" si="0"/>
        <v>1014.55</v>
      </c>
      <c r="BB23" s="58">
        <f t="shared" si="0"/>
        <v>1056.17</v>
      </c>
      <c r="BC23" s="9">
        <f t="shared" si="4"/>
        <v>1.0410231136957273</v>
      </c>
    </row>
    <row r="24" spans="1:55" ht="15.6" x14ac:dyDescent="0.3">
      <c r="A24" s="56" t="s">
        <v>46</v>
      </c>
      <c r="B24" s="57"/>
      <c r="C24" s="57"/>
      <c r="D24" s="57"/>
      <c r="E24" s="57">
        <v>10.029999999999999</v>
      </c>
      <c r="F24" s="57">
        <v>54.99</v>
      </c>
      <c r="G24" s="57">
        <f t="shared" si="1"/>
        <v>5.4825523429710872</v>
      </c>
      <c r="H24" s="57"/>
      <c r="I24" s="57"/>
      <c r="J24" s="57"/>
      <c r="K24" s="57">
        <v>1.95</v>
      </c>
      <c r="L24" s="57">
        <v>5.68</v>
      </c>
      <c r="M24" s="57">
        <f t="shared" si="3"/>
        <v>2.9128205128205127</v>
      </c>
      <c r="N24" s="57"/>
      <c r="O24" s="57"/>
      <c r="P24" s="57"/>
      <c r="Q24" s="57">
        <v>17.48</v>
      </c>
      <c r="R24" s="57">
        <v>4.1100000000000003</v>
      </c>
      <c r="S24" s="57">
        <f t="shared" si="14"/>
        <v>0.23512585812356981</v>
      </c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8">
        <f t="shared" si="0"/>
        <v>29.46</v>
      </c>
      <c r="BB24" s="58">
        <f t="shared" si="0"/>
        <v>64.78</v>
      </c>
      <c r="BC24" s="9">
        <f t="shared" si="4"/>
        <v>2.1989137813985065</v>
      </c>
    </row>
    <row r="25" spans="1:55" ht="15.6" x14ac:dyDescent="0.3">
      <c r="A25" s="56" t="s">
        <v>47</v>
      </c>
      <c r="B25" s="57">
        <v>4.01</v>
      </c>
      <c r="C25" s="57">
        <v>0.89</v>
      </c>
      <c r="D25" s="57">
        <f t="shared" si="12"/>
        <v>0.22194513715710726</v>
      </c>
      <c r="E25" s="57">
        <v>0.312</v>
      </c>
      <c r="F25" s="57">
        <v>2.1800000000000002</v>
      </c>
      <c r="G25" s="57">
        <f t="shared" si="1"/>
        <v>6.9871794871794881</v>
      </c>
      <c r="H25" s="57">
        <v>44.37</v>
      </c>
      <c r="I25" s="57">
        <v>19.55</v>
      </c>
      <c r="J25" s="57">
        <f t="shared" si="2"/>
        <v>0.44061302681992343</v>
      </c>
      <c r="K25" s="57">
        <v>34.729999999999997</v>
      </c>
      <c r="L25" s="57">
        <v>132.4</v>
      </c>
      <c r="M25" s="57">
        <f t="shared" si="3"/>
        <v>3.812266052404262</v>
      </c>
      <c r="N25" s="57">
        <v>0.48</v>
      </c>
      <c r="O25" s="57">
        <v>2.72</v>
      </c>
      <c r="P25" s="57">
        <f t="shared" si="5"/>
        <v>5.666666666666667</v>
      </c>
      <c r="Q25" s="57">
        <v>4.03</v>
      </c>
      <c r="R25" s="57">
        <v>0.36</v>
      </c>
      <c r="S25" s="57">
        <f t="shared" si="14"/>
        <v>8.9330024813895778E-2</v>
      </c>
      <c r="T25" s="57">
        <v>8.31</v>
      </c>
      <c r="U25" s="57">
        <v>3.8</v>
      </c>
      <c r="V25" s="57">
        <f t="shared" si="6"/>
        <v>0.45728038507821894</v>
      </c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>
        <v>0.96</v>
      </c>
      <c r="AS25" s="57">
        <v>0.95</v>
      </c>
      <c r="AT25" s="57">
        <f t="shared" si="17"/>
        <v>0.98958333333333337</v>
      </c>
      <c r="AU25" s="57">
        <v>15.91</v>
      </c>
      <c r="AV25" s="57">
        <v>49.66</v>
      </c>
      <c r="AW25" s="57">
        <f t="shared" si="18"/>
        <v>3.1213073538654932</v>
      </c>
      <c r="AX25" s="57"/>
      <c r="AY25" s="57"/>
      <c r="AZ25" s="57"/>
      <c r="BA25" s="58">
        <f t="shared" si="0"/>
        <v>113.11199999999999</v>
      </c>
      <c r="BB25" s="58">
        <f t="shared" si="0"/>
        <v>212.51000000000002</v>
      </c>
      <c r="BC25" s="9">
        <f t="shared" si="4"/>
        <v>1.8787573378598206</v>
      </c>
    </row>
    <row r="26" spans="1:55" ht="15.6" x14ac:dyDescent="0.3">
      <c r="A26" s="56" t="s">
        <v>56</v>
      </c>
      <c r="B26" s="57"/>
      <c r="C26" s="57"/>
      <c r="D26" s="57"/>
      <c r="E26" s="57">
        <v>1.8280000000000001</v>
      </c>
      <c r="F26" s="57">
        <v>11.9</v>
      </c>
      <c r="G26" s="57">
        <f t="shared" si="1"/>
        <v>6.5098468271334795</v>
      </c>
      <c r="H26" s="57">
        <v>81.599999999999994</v>
      </c>
      <c r="I26" s="57">
        <v>227.61</v>
      </c>
      <c r="J26" s="57">
        <f t="shared" si="2"/>
        <v>2.7893382352941178</v>
      </c>
      <c r="K26" s="57">
        <v>42.54</v>
      </c>
      <c r="L26" s="57">
        <v>184.29</v>
      </c>
      <c r="M26" s="57">
        <f t="shared" si="3"/>
        <v>4.3321579689703809</v>
      </c>
      <c r="N26" s="57">
        <v>0.28999999999999998</v>
      </c>
      <c r="O26" s="57">
        <v>1.01</v>
      </c>
      <c r="P26" s="57">
        <f t="shared" si="5"/>
        <v>3.4827586206896552</v>
      </c>
      <c r="Q26" s="57"/>
      <c r="R26" s="57"/>
      <c r="S26" s="57"/>
      <c r="T26" s="57">
        <v>1.01</v>
      </c>
      <c r="U26" s="57">
        <v>0.39</v>
      </c>
      <c r="V26" s="57">
        <f t="shared" si="6"/>
        <v>0.38613861386138615</v>
      </c>
      <c r="W26" s="57"/>
      <c r="X26" s="57"/>
      <c r="Y26" s="57"/>
      <c r="Z26" s="57"/>
      <c r="AA26" s="57"/>
      <c r="AB26" s="57"/>
      <c r="AC26" s="57"/>
      <c r="AD26" s="57"/>
      <c r="AE26" s="57"/>
      <c r="AF26" s="57">
        <v>1.38</v>
      </c>
      <c r="AG26" s="57">
        <v>5.72</v>
      </c>
      <c r="AH26" s="57">
        <f t="shared" si="7"/>
        <v>4.1449275362318838</v>
      </c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>
        <v>0.24</v>
      </c>
      <c r="AV26" s="57">
        <v>12.49</v>
      </c>
      <c r="AW26" s="57">
        <f t="shared" si="18"/>
        <v>52.041666666666671</v>
      </c>
      <c r="AX26" s="57"/>
      <c r="AY26" s="57"/>
      <c r="AZ26" s="57"/>
      <c r="BA26" s="58">
        <f t="shared" si="0"/>
        <v>128.88800000000001</v>
      </c>
      <c r="BB26" s="58">
        <f t="shared" si="0"/>
        <v>443.41</v>
      </c>
      <c r="BC26" s="9">
        <f t="shared" si="4"/>
        <v>3.4402737260256968</v>
      </c>
    </row>
    <row r="27" spans="1:55" ht="15.6" x14ac:dyDescent="0.3">
      <c r="A27" s="56" t="s">
        <v>48</v>
      </c>
      <c r="B27" s="57">
        <v>0.24</v>
      </c>
      <c r="C27" s="57">
        <v>0.15</v>
      </c>
      <c r="D27" s="57">
        <f t="shared" si="12"/>
        <v>0.625</v>
      </c>
      <c r="E27" s="57">
        <v>1.8</v>
      </c>
      <c r="F27" s="57">
        <v>7.6</v>
      </c>
      <c r="G27" s="57">
        <f t="shared" si="1"/>
        <v>4.2222222222222223</v>
      </c>
      <c r="H27" s="57">
        <v>2.35</v>
      </c>
      <c r="I27" s="57">
        <v>3.7</v>
      </c>
      <c r="J27" s="57">
        <f t="shared" si="2"/>
        <v>1.574468085106383</v>
      </c>
      <c r="K27" s="57">
        <v>1.3</v>
      </c>
      <c r="L27" s="57">
        <v>6.59</v>
      </c>
      <c r="M27" s="57">
        <f t="shared" si="3"/>
        <v>5.069230769230769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8">
        <f t="shared" si="0"/>
        <v>5.69</v>
      </c>
      <c r="BB27" s="58">
        <f t="shared" si="0"/>
        <v>18.04</v>
      </c>
      <c r="BC27" s="9">
        <f t="shared" si="4"/>
        <v>3.1704745166959576</v>
      </c>
    </row>
    <row r="28" spans="1:55" ht="15.6" x14ac:dyDescent="0.3">
      <c r="A28" s="56" t="s">
        <v>49</v>
      </c>
      <c r="B28" s="57"/>
      <c r="C28" s="57"/>
      <c r="D28" s="57"/>
      <c r="E28" s="57">
        <v>0.94399999999999995</v>
      </c>
      <c r="F28" s="57">
        <v>4.3499999999999996</v>
      </c>
      <c r="G28" s="57">
        <f t="shared" si="1"/>
        <v>4.6080508474576272</v>
      </c>
      <c r="H28" s="57">
        <v>13.55</v>
      </c>
      <c r="I28" s="57">
        <v>10.26</v>
      </c>
      <c r="J28" s="57">
        <f t="shared" si="2"/>
        <v>0.75719557195571952</v>
      </c>
      <c r="K28" s="57">
        <v>2</v>
      </c>
      <c r="L28" s="57">
        <v>6</v>
      </c>
      <c r="M28" s="57">
        <f t="shared" si="3"/>
        <v>3</v>
      </c>
      <c r="N28" s="57">
        <v>33.6</v>
      </c>
      <c r="O28" s="57">
        <v>193.62</v>
      </c>
      <c r="P28" s="57">
        <f t="shared" si="5"/>
        <v>5.7625000000000002</v>
      </c>
      <c r="Q28" s="57"/>
      <c r="R28" s="57"/>
      <c r="S28" s="57"/>
      <c r="T28" s="57">
        <v>7.47</v>
      </c>
      <c r="U28" s="57">
        <v>2.58</v>
      </c>
      <c r="V28" s="57">
        <f t="shared" si="6"/>
        <v>0.34538152610441769</v>
      </c>
      <c r="W28" s="57"/>
      <c r="X28" s="57"/>
      <c r="Y28" s="57"/>
      <c r="Z28" s="57">
        <v>0.71</v>
      </c>
      <c r="AA28" s="57">
        <v>0.67</v>
      </c>
      <c r="AB28" s="57">
        <f t="shared" si="8"/>
        <v>0.94366197183098599</v>
      </c>
      <c r="AC28" s="57">
        <v>0.32</v>
      </c>
      <c r="AD28" s="57">
        <v>0.19</v>
      </c>
      <c r="AE28" s="57">
        <f t="shared" si="9"/>
        <v>0.59375</v>
      </c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8">
        <f t="shared" si="0"/>
        <v>58.594000000000001</v>
      </c>
      <c r="BB28" s="58">
        <f t="shared" si="0"/>
        <v>217.67000000000002</v>
      </c>
      <c r="BC28" s="9">
        <f t="shared" si="4"/>
        <v>3.714885483155272</v>
      </c>
    </row>
    <row r="29" spans="1:55" ht="15.6" x14ac:dyDescent="0.3">
      <c r="A29" s="56" t="s">
        <v>50</v>
      </c>
      <c r="B29" s="57"/>
      <c r="C29" s="57"/>
      <c r="D29" s="57"/>
      <c r="E29" s="57">
        <v>2.0550000000000002</v>
      </c>
      <c r="F29" s="57">
        <v>19.600000000000001</v>
      </c>
      <c r="G29" s="57">
        <f t="shared" si="1"/>
        <v>9.5377128953771297</v>
      </c>
      <c r="H29" s="57">
        <v>9</v>
      </c>
      <c r="I29" s="57">
        <v>7.2</v>
      </c>
      <c r="J29" s="57">
        <f t="shared" si="2"/>
        <v>0.8</v>
      </c>
      <c r="K29" s="57">
        <v>0.9</v>
      </c>
      <c r="L29" s="57">
        <v>1.74</v>
      </c>
      <c r="M29" s="57">
        <f t="shared" si="3"/>
        <v>1.9333333333333333</v>
      </c>
      <c r="N29" s="57">
        <v>1.29</v>
      </c>
      <c r="O29" s="57">
        <v>1.93</v>
      </c>
      <c r="P29" s="57">
        <f t="shared" si="5"/>
        <v>1.4961240310077519</v>
      </c>
      <c r="Q29" s="57"/>
      <c r="R29" s="57"/>
      <c r="S29" s="57"/>
      <c r="T29" s="57">
        <v>0.9</v>
      </c>
      <c r="U29" s="57">
        <v>3.8</v>
      </c>
      <c r="V29" s="57">
        <f t="shared" si="6"/>
        <v>4.2222222222222223</v>
      </c>
      <c r="W29" s="57">
        <v>0</v>
      </c>
      <c r="X29" s="57">
        <v>0.01</v>
      </c>
      <c r="Y29" s="57"/>
      <c r="Z29" s="57"/>
      <c r="AA29" s="57"/>
      <c r="AB29" s="57"/>
      <c r="AC29" s="57">
        <v>0.4</v>
      </c>
      <c r="AD29" s="57">
        <v>2.61</v>
      </c>
      <c r="AE29" s="57">
        <f t="shared" si="9"/>
        <v>6.5249999999999995</v>
      </c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8">
        <f t="shared" si="0"/>
        <v>14.545000000000002</v>
      </c>
      <c r="BB29" s="58">
        <f t="shared" si="0"/>
        <v>36.889999999999993</v>
      </c>
      <c r="BC29" s="9">
        <f t="shared" si="4"/>
        <v>2.5362667583361973</v>
      </c>
    </row>
    <row r="30" spans="1:55" ht="15.6" x14ac:dyDescent="0.3">
      <c r="A30" s="56" t="s">
        <v>51</v>
      </c>
      <c r="B30" s="57">
        <v>0.26</v>
      </c>
      <c r="C30" s="57">
        <v>0.06</v>
      </c>
      <c r="D30" s="57">
        <f t="shared" si="12"/>
        <v>0.23076923076923075</v>
      </c>
      <c r="E30" s="57">
        <v>11.893000000000001</v>
      </c>
      <c r="F30" s="57">
        <v>129.02000000000001</v>
      </c>
      <c r="G30" s="57">
        <f t="shared" si="1"/>
        <v>10.848398217438829</v>
      </c>
      <c r="H30" s="57">
        <v>65.12</v>
      </c>
      <c r="I30" s="57">
        <v>100.34</v>
      </c>
      <c r="J30" s="57">
        <f t="shared" si="2"/>
        <v>1.5408476658476657</v>
      </c>
      <c r="K30" s="57">
        <v>16.71</v>
      </c>
      <c r="L30" s="57">
        <v>42.41</v>
      </c>
      <c r="M30" s="57">
        <f t="shared" si="3"/>
        <v>2.5380011968880907</v>
      </c>
      <c r="N30" s="57">
        <v>3.73</v>
      </c>
      <c r="O30" s="57">
        <v>36.07</v>
      </c>
      <c r="P30" s="57">
        <f t="shared" si="5"/>
        <v>9.6702412868632717</v>
      </c>
      <c r="Q30" s="57">
        <v>2.94</v>
      </c>
      <c r="R30" s="57">
        <v>0.76</v>
      </c>
      <c r="S30" s="57">
        <f t="shared" si="14"/>
        <v>0.25850340136054423</v>
      </c>
      <c r="T30" s="57">
        <v>11.45</v>
      </c>
      <c r="U30" s="57">
        <v>14.52</v>
      </c>
      <c r="V30" s="57">
        <f t="shared" si="6"/>
        <v>1.2681222707423581</v>
      </c>
      <c r="W30" s="57">
        <v>1.46</v>
      </c>
      <c r="X30" s="57">
        <v>1.45</v>
      </c>
      <c r="Y30" s="57">
        <f t="shared" si="10"/>
        <v>0.99315068493150682</v>
      </c>
      <c r="Z30" s="57">
        <v>1.02</v>
      </c>
      <c r="AA30" s="57">
        <v>1.03</v>
      </c>
      <c r="AB30" s="57">
        <f t="shared" si="8"/>
        <v>1.0098039215686274</v>
      </c>
      <c r="AC30" s="57">
        <v>2.42</v>
      </c>
      <c r="AD30" s="57">
        <v>2.64</v>
      </c>
      <c r="AE30" s="57">
        <f t="shared" si="9"/>
        <v>1.0909090909090911</v>
      </c>
      <c r="AF30" s="57"/>
      <c r="AG30" s="57"/>
      <c r="AH30" s="57"/>
      <c r="AI30" s="57">
        <v>1.25</v>
      </c>
      <c r="AJ30" s="57">
        <v>1.6</v>
      </c>
      <c r="AK30" s="57">
        <f t="shared" si="13"/>
        <v>1.28</v>
      </c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8">
        <f t="shared" si="0"/>
        <v>118.253</v>
      </c>
      <c r="BB30" s="58">
        <f t="shared" si="0"/>
        <v>329.9</v>
      </c>
      <c r="BC30" s="9">
        <f t="shared" si="4"/>
        <v>2.7897812317657902</v>
      </c>
    </row>
    <row r="31" spans="1:55" ht="15.6" x14ac:dyDescent="0.3">
      <c r="A31" s="56" t="s">
        <v>75</v>
      </c>
      <c r="B31" s="57">
        <v>1.39</v>
      </c>
      <c r="C31" s="57">
        <v>0.41000000000000003</v>
      </c>
      <c r="D31" s="57">
        <f t="shared" si="12"/>
        <v>0.29496402877697847</v>
      </c>
      <c r="E31" s="57">
        <v>0.215</v>
      </c>
      <c r="F31" s="57">
        <v>1.91</v>
      </c>
      <c r="G31" s="57">
        <f t="shared" si="1"/>
        <v>8.8837209302325579</v>
      </c>
      <c r="H31" s="57">
        <v>0.4</v>
      </c>
      <c r="I31" s="57">
        <v>0.64</v>
      </c>
      <c r="J31" s="57">
        <f t="shared" si="2"/>
        <v>1.5999999999999999</v>
      </c>
      <c r="K31" s="57">
        <v>8.1000000000000003E-2</v>
      </c>
      <c r="L31" s="57">
        <v>0.47099999999999997</v>
      </c>
      <c r="M31" s="57">
        <f t="shared" si="3"/>
        <v>5.814814814814814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>
        <v>0.15</v>
      </c>
      <c r="AM31" s="57">
        <v>0.04</v>
      </c>
      <c r="AN31" s="57">
        <f t="shared" si="15"/>
        <v>0.26666666666666666</v>
      </c>
      <c r="AO31" s="57">
        <v>0.26</v>
      </c>
      <c r="AP31" s="57">
        <v>6.0000000000000005E-2</v>
      </c>
      <c r="AQ31" s="57">
        <f t="shared" si="16"/>
        <v>0.23076923076923078</v>
      </c>
      <c r="AR31" s="57">
        <v>0.16</v>
      </c>
      <c r="AS31" s="57">
        <v>0.01</v>
      </c>
      <c r="AT31" s="57">
        <f t="shared" si="17"/>
        <v>6.25E-2</v>
      </c>
      <c r="AU31" s="57">
        <v>0.06</v>
      </c>
      <c r="AV31" s="57">
        <v>0.28000000000000003</v>
      </c>
      <c r="AW31" s="57">
        <f t="shared" si="18"/>
        <v>4.666666666666667</v>
      </c>
      <c r="AX31" s="57"/>
      <c r="AY31" s="57"/>
      <c r="AZ31" s="57"/>
      <c r="BA31" s="58">
        <f t="shared" si="0"/>
        <v>2.7159999999999997</v>
      </c>
      <c r="BB31" s="58">
        <f t="shared" si="0"/>
        <v>3.8209999999999997</v>
      </c>
      <c r="BC31" s="9">
        <f t="shared" si="4"/>
        <v>1.4068483063328425</v>
      </c>
    </row>
    <row r="32" spans="1:55" ht="15.6" x14ac:dyDescent="0.3">
      <c r="A32" s="56" t="s">
        <v>52</v>
      </c>
      <c r="B32" s="127">
        <f>SUM(B3:B31)</f>
        <v>128.59</v>
      </c>
      <c r="C32" s="182">
        <f t="shared" ref="C32:BB32" si="19">SUM(C3:C31)</f>
        <v>54.639999999999993</v>
      </c>
      <c r="D32" s="58">
        <f t="shared" si="12"/>
        <v>0.42491640096430511</v>
      </c>
      <c r="E32" s="127">
        <f t="shared" si="19"/>
        <v>163.62300000000005</v>
      </c>
      <c r="F32" s="116">
        <f t="shared" si="19"/>
        <v>1109.1799999999998</v>
      </c>
      <c r="G32" s="135">
        <f t="shared" si="1"/>
        <v>6.7788758304150365</v>
      </c>
      <c r="H32" s="127">
        <f t="shared" si="19"/>
        <v>811.1400000000001</v>
      </c>
      <c r="I32" s="116">
        <f t="shared" si="19"/>
        <v>1520.39</v>
      </c>
      <c r="J32" s="58">
        <f t="shared" si="2"/>
        <v>1.8743866656804002</v>
      </c>
      <c r="K32" s="127">
        <f t="shared" si="19"/>
        <v>185.90100000000004</v>
      </c>
      <c r="L32" s="116">
        <f t="shared" si="19"/>
        <v>943.30100000000004</v>
      </c>
      <c r="M32" s="135">
        <f t="shared" si="3"/>
        <v>5.0742115427028356</v>
      </c>
      <c r="N32" s="127">
        <f t="shared" si="19"/>
        <v>280.95000000000005</v>
      </c>
      <c r="O32" s="116">
        <f t="shared" si="19"/>
        <v>1617.3400000000001</v>
      </c>
      <c r="P32" s="135">
        <f t="shared" si="5"/>
        <v>5.7566826837515572</v>
      </c>
      <c r="Q32" s="58">
        <f t="shared" si="19"/>
        <v>85.66</v>
      </c>
      <c r="R32" s="202">
        <f t="shared" si="19"/>
        <v>24.07</v>
      </c>
      <c r="S32" s="58">
        <f t="shared" si="14"/>
        <v>0.28099462993229046</v>
      </c>
      <c r="T32" s="127">
        <f t="shared" si="19"/>
        <v>581.6</v>
      </c>
      <c r="U32" s="116">
        <f t="shared" si="19"/>
        <v>584.98</v>
      </c>
      <c r="V32" s="58">
        <f t="shared" si="6"/>
        <v>1.0058115543328747</v>
      </c>
      <c r="W32" s="127">
        <f t="shared" si="19"/>
        <v>808.02</v>
      </c>
      <c r="X32" s="116">
        <f t="shared" si="19"/>
        <v>503.26999999999992</v>
      </c>
      <c r="Y32" s="58">
        <f t="shared" si="10"/>
        <v>0.62284349397292138</v>
      </c>
      <c r="Z32" s="191">
        <f t="shared" si="19"/>
        <v>75.929999999999993</v>
      </c>
      <c r="AA32" s="182">
        <f t="shared" si="19"/>
        <v>129.35999999999999</v>
      </c>
      <c r="AB32" s="58">
        <f t="shared" si="8"/>
        <v>1.7036744369814303</v>
      </c>
      <c r="AC32" s="191">
        <f t="shared" si="19"/>
        <v>219.17999999999998</v>
      </c>
      <c r="AD32" s="182">
        <f t="shared" si="19"/>
        <v>247.14000000000001</v>
      </c>
      <c r="AE32" s="58">
        <f t="shared" si="9"/>
        <v>1.1275663837941421</v>
      </c>
      <c r="AF32" s="191">
        <f t="shared" si="19"/>
        <v>23.709999999999997</v>
      </c>
      <c r="AG32" s="182">
        <f t="shared" si="19"/>
        <v>16.009999999999998</v>
      </c>
      <c r="AH32" s="58">
        <f t="shared" si="7"/>
        <v>0.67524251370729649</v>
      </c>
      <c r="AI32" s="212">
        <f t="shared" si="19"/>
        <v>25.64</v>
      </c>
      <c r="AJ32" s="182">
        <f t="shared" si="19"/>
        <v>23.35</v>
      </c>
      <c r="AK32" s="58">
        <f t="shared" si="13"/>
        <v>0.91068642745709827</v>
      </c>
      <c r="AL32" s="212">
        <f t="shared" si="19"/>
        <v>2.76</v>
      </c>
      <c r="AM32" s="202">
        <f t="shared" si="19"/>
        <v>5.07</v>
      </c>
      <c r="AN32" s="135">
        <f t="shared" si="15"/>
        <v>1.8369565217391306</v>
      </c>
      <c r="AO32" s="212">
        <f t="shared" si="19"/>
        <v>21.220000000000002</v>
      </c>
      <c r="AP32" s="202">
        <f t="shared" si="19"/>
        <v>14.459999999999999</v>
      </c>
      <c r="AQ32" s="58">
        <f t="shared" si="16"/>
        <v>0.6814326107445805</v>
      </c>
      <c r="AR32" s="212">
        <f t="shared" si="19"/>
        <v>2.31</v>
      </c>
      <c r="AS32" s="202">
        <f t="shared" si="19"/>
        <v>1.21</v>
      </c>
      <c r="AT32" s="58">
        <f t="shared" si="17"/>
        <v>0.52380952380952384</v>
      </c>
      <c r="AU32" s="58">
        <f t="shared" si="19"/>
        <v>52.890000000000008</v>
      </c>
      <c r="AV32" s="116">
        <f t="shared" si="19"/>
        <v>194.41</v>
      </c>
      <c r="AW32" s="135">
        <f t="shared" si="18"/>
        <v>3.6757421062582711</v>
      </c>
      <c r="AX32" s="212">
        <f t="shared" si="19"/>
        <v>4.41</v>
      </c>
      <c r="AY32" s="202">
        <f t="shared" si="19"/>
        <v>0.28999999999999998</v>
      </c>
      <c r="AZ32" s="58">
        <f>AY32/AX32</f>
        <v>6.5759637188208611E-2</v>
      </c>
      <c r="BA32" s="58">
        <f t="shared" si="19"/>
        <v>3473.5340000000001</v>
      </c>
      <c r="BB32" s="58">
        <f t="shared" si="19"/>
        <v>6988.4709999999995</v>
      </c>
      <c r="BC32" s="9">
        <f t="shared" si="4"/>
        <v>2.011919560885254</v>
      </c>
    </row>
  </sheetData>
  <mergeCells count="19">
    <mergeCell ref="AF1:AG1"/>
    <mergeCell ref="A1:A2"/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BA1:BC1"/>
    <mergeCell ref="AI1:AJ1"/>
    <mergeCell ref="AL1:AM1"/>
    <mergeCell ref="AO1:AP1"/>
    <mergeCell ref="AR1:AS1"/>
    <mergeCell ref="AU1:AV1"/>
    <mergeCell ref="AX1:A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2B81-F10B-407E-809B-D1B1BF53FCF2}">
  <dimension ref="A1:BF32"/>
  <sheetViews>
    <sheetView topLeftCell="AH12" workbookViewId="0">
      <selection activeCell="BA32" sqref="BA32"/>
    </sheetView>
  </sheetViews>
  <sheetFormatPr defaultRowHeight="14.4" x14ac:dyDescent="0.3"/>
  <cols>
    <col min="1" max="1" width="26.33203125" bestFit="1" customWidth="1"/>
    <col min="6" max="6" width="9.6640625" bestFit="1" customWidth="1"/>
    <col min="9" max="9" width="9.6640625" bestFit="1" customWidth="1"/>
    <col min="15" max="15" width="9.6640625" bestFit="1" customWidth="1"/>
    <col min="40" max="40" width="11.88671875" bestFit="1" customWidth="1"/>
    <col min="57" max="57" width="9.6640625" bestFit="1" customWidth="1"/>
  </cols>
  <sheetData>
    <row r="1" spans="1:58" ht="15.6" x14ac:dyDescent="0.3">
      <c r="A1" s="68" t="s">
        <v>54</v>
      </c>
      <c r="B1" s="245" t="s">
        <v>58</v>
      </c>
      <c r="C1" s="245"/>
      <c r="D1" s="69"/>
      <c r="E1" s="245" t="s">
        <v>59</v>
      </c>
      <c r="F1" s="245"/>
      <c r="G1" s="69"/>
      <c r="H1" s="245" t="s">
        <v>60</v>
      </c>
      <c r="I1" s="245"/>
      <c r="J1" s="69"/>
      <c r="K1" s="245" t="s">
        <v>61</v>
      </c>
      <c r="L1" s="245"/>
      <c r="M1" s="69"/>
      <c r="N1" s="245" t="s">
        <v>62</v>
      </c>
      <c r="O1" s="245"/>
      <c r="P1" s="69"/>
      <c r="Q1" s="245" t="s">
        <v>63</v>
      </c>
      <c r="R1" s="245"/>
      <c r="S1" s="69"/>
      <c r="T1" s="245" t="s">
        <v>64</v>
      </c>
      <c r="U1" s="245"/>
      <c r="V1" s="69"/>
      <c r="W1" s="245" t="s">
        <v>65</v>
      </c>
      <c r="X1" s="245"/>
      <c r="Y1" s="69"/>
      <c r="Z1" s="245" t="s">
        <v>66</v>
      </c>
      <c r="AA1" s="245"/>
      <c r="AB1" s="70"/>
      <c r="AC1" s="246" t="s">
        <v>67</v>
      </c>
      <c r="AD1" s="247"/>
      <c r="AE1" s="71"/>
      <c r="AF1" s="245" t="s">
        <v>68</v>
      </c>
      <c r="AG1" s="245"/>
      <c r="AH1" s="70"/>
      <c r="AI1" s="243" t="s">
        <v>69</v>
      </c>
      <c r="AJ1" s="244"/>
      <c r="AK1" s="73"/>
      <c r="AL1" s="243" t="s">
        <v>70</v>
      </c>
      <c r="AM1" s="244"/>
      <c r="AN1" s="72"/>
      <c r="AO1" s="245" t="s">
        <v>71</v>
      </c>
      <c r="AP1" s="245"/>
      <c r="AQ1" s="70"/>
      <c r="AR1" s="246" t="s">
        <v>72</v>
      </c>
      <c r="AS1" s="247"/>
      <c r="AT1" s="71"/>
      <c r="AU1" s="245" t="s">
        <v>73</v>
      </c>
      <c r="AV1" s="245"/>
      <c r="AW1" s="70"/>
      <c r="AX1" s="243" t="s">
        <v>74</v>
      </c>
      <c r="AY1" s="244"/>
      <c r="AZ1" s="73"/>
      <c r="BA1" s="243" t="s">
        <v>76</v>
      </c>
      <c r="BB1" s="244"/>
      <c r="BC1" s="72"/>
      <c r="BD1" s="245" t="s">
        <v>52</v>
      </c>
      <c r="BE1" s="245"/>
      <c r="BF1" s="9"/>
    </row>
    <row r="2" spans="1:58" ht="17.399999999999999" x14ac:dyDescent="0.3">
      <c r="A2" s="74"/>
      <c r="B2" s="69" t="s">
        <v>19</v>
      </c>
      <c r="C2" s="69" t="s">
        <v>20</v>
      </c>
      <c r="D2" s="69" t="s">
        <v>21</v>
      </c>
      <c r="E2" s="69" t="s">
        <v>19</v>
      </c>
      <c r="F2" s="69" t="s">
        <v>20</v>
      </c>
      <c r="G2" s="69" t="s">
        <v>21</v>
      </c>
      <c r="H2" s="69" t="s">
        <v>19</v>
      </c>
      <c r="I2" s="69" t="s">
        <v>20</v>
      </c>
      <c r="J2" s="69" t="s">
        <v>21</v>
      </c>
      <c r="K2" s="69" t="s">
        <v>19</v>
      </c>
      <c r="L2" s="69" t="s">
        <v>20</v>
      </c>
      <c r="M2" s="69" t="s">
        <v>21</v>
      </c>
      <c r="N2" s="69" t="s">
        <v>19</v>
      </c>
      <c r="O2" s="69" t="s">
        <v>20</v>
      </c>
      <c r="P2" s="69" t="s">
        <v>21</v>
      </c>
      <c r="Q2" s="69" t="s">
        <v>19</v>
      </c>
      <c r="R2" s="69" t="s">
        <v>20</v>
      </c>
      <c r="S2" s="69" t="s">
        <v>21</v>
      </c>
      <c r="T2" s="69" t="s">
        <v>19</v>
      </c>
      <c r="U2" s="69" t="s">
        <v>20</v>
      </c>
      <c r="V2" s="69" t="s">
        <v>21</v>
      </c>
      <c r="W2" s="69" t="s">
        <v>19</v>
      </c>
      <c r="X2" s="69" t="s">
        <v>20</v>
      </c>
      <c r="Y2" s="69" t="s">
        <v>21</v>
      </c>
      <c r="Z2" s="69" t="s">
        <v>19</v>
      </c>
      <c r="AA2" s="69" t="s">
        <v>20</v>
      </c>
      <c r="AB2" s="69" t="s">
        <v>21</v>
      </c>
      <c r="AC2" s="69" t="s">
        <v>19</v>
      </c>
      <c r="AD2" s="69" t="s">
        <v>20</v>
      </c>
      <c r="AE2" s="69" t="s">
        <v>21</v>
      </c>
      <c r="AF2" s="69" t="s">
        <v>19</v>
      </c>
      <c r="AG2" s="69" t="s">
        <v>20</v>
      </c>
      <c r="AH2" s="69" t="s">
        <v>21</v>
      </c>
      <c r="AI2" s="69" t="s">
        <v>19</v>
      </c>
      <c r="AJ2" s="69" t="s">
        <v>20</v>
      </c>
      <c r="AK2" s="69" t="s">
        <v>21</v>
      </c>
      <c r="AL2" s="69" t="s">
        <v>19</v>
      </c>
      <c r="AM2" s="69" t="s">
        <v>20</v>
      </c>
      <c r="AN2" s="69" t="s">
        <v>21</v>
      </c>
      <c r="AO2" s="69" t="s">
        <v>19</v>
      </c>
      <c r="AP2" s="69" t="s">
        <v>20</v>
      </c>
      <c r="AQ2" s="69" t="s">
        <v>21</v>
      </c>
      <c r="AR2" s="69" t="s">
        <v>19</v>
      </c>
      <c r="AS2" s="69" t="s">
        <v>20</v>
      </c>
      <c r="AT2" s="69" t="s">
        <v>21</v>
      </c>
      <c r="AU2" s="69" t="s">
        <v>19</v>
      </c>
      <c r="AV2" s="69" t="s">
        <v>20</v>
      </c>
      <c r="AW2" s="69" t="s">
        <v>21</v>
      </c>
      <c r="AX2" s="69" t="s">
        <v>19</v>
      </c>
      <c r="AY2" s="69" t="s">
        <v>20</v>
      </c>
      <c r="AZ2" s="69" t="s">
        <v>21</v>
      </c>
      <c r="BA2" s="69" t="s">
        <v>19</v>
      </c>
      <c r="BB2" s="69" t="s">
        <v>20</v>
      </c>
      <c r="BC2" s="69" t="s">
        <v>21</v>
      </c>
      <c r="BD2" s="69" t="s">
        <v>19</v>
      </c>
      <c r="BE2" s="69" t="s">
        <v>20</v>
      </c>
      <c r="BF2" s="75" t="s">
        <v>21</v>
      </c>
    </row>
    <row r="3" spans="1:58" ht="18" x14ac:dyDescent="0.35">
      <c r="A3" s="76" t="s">
        <v>23</v>
      </c>
      <c r="B3" s="77"/>
      <c r="C3" s="77"/>
      <c r="D3" s="77"/>
      <c r="E3" s="77">
        <v>0.38100000000000001</v>
      </c>
      <c r="F3" s="77">
        <v>1.44</v>
      </c>
      <c r="G3" s="77">
        <f>F3/E3</f>
        <v>3.7795275590551181</v>
      </c>
      <c r="H3" s="77">
        <v>209.34700000000001</v>
      </c>
      <c r="I3" s="77">
        <v>992.9</v>
      </c>
      <c r="J3" s="77">
        <f>I3/H3</f>
        <v>4.7428432220189443</v>
      </c>
      <c r="K3" s="77">
        <v>19.62</v>
      </c>
      <c r="L3" s="77">
        <v>79.73</v>
      </c>
      <c r="M3" s="77">
        <f>L3/K3</f>
        <v>4.0637104994903162</v>
      </c>
      <c r="N3" s="77">
        <v>2E-3</v>
      </c>
      <c r="O3" s="77">
        <v>0</v>
      </c>
      <c r="P3" s="77">
        <f>O3/N3</f>
        <v>0</v>
      </c>
      <c r="Q3" s="77"/>
      <c r="R3" s="77"/>
      <c r="S3" s="77"/>
      <c r="T3" s="77">
        <v>4.3029999999999999</v>
      </c>
      <c r="U3" s="77">
        <v>2.3690000000000002</v>
      </c>
      <c r="V3" s="77">
        <f>U3/T3</f>
        <v>0.55054613060655366</v>
      </c>
      <c r="W3" s="77"/>
      <c r="X3" s="77"/>
      <c r="Y3" s="77"/>
      <c r="Z3" s="77"/>
      <c r="AA3" s="77"/>
      <c r="AB3" s="77"/>
      <c r="AC3" s="77"/>
      <c r="AD3" s="77"/>
      <c r="AE3" s="77"/>
      <c r="AF3" s="77">
        <v>8.3239999999999998</v>
      </c>
      <c r="AG3" s="77">
        <v>2.6030000000000002</v>
      </c>
      <c r="AH3" s="77">
        <f>AG3/AF3</f>
        <v>0.3127102354637194</v>
      </c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>
        <v>4.6660000000000004</v>
      </c>
      <c r="AV3" s="77">
        <v>20.346</v>
      </c>
      <c r="AW3" s="77">
        <f>AV3/AU3</f>
        <v>4.3604800685812259</v>
      </c>
      <c r="AX3" s="78">
        <v>0.114</v>
      </c>
      <c r="AY3" s="78">
        <v>0.04</v>
      </c>
      <c r="AZ3" s="78">
        <f>AY3/AX3</f>
        <v>0.35087719298245612</v>
      </c>
      <c r="BA3" s="77"/>
      <c r="BB3" s="77"/>
      <c r="BC3" s="77"/>
      <c r="BD3" s="79">
        <v>246.75700000000003</v>
      </c>
      <c r="BE3" s="79">
        <v>1099.4280000000001</v>
      </c>
      <c r="BF3" s="80">
        <f>BE3/BD3</f>
        <v>4.4555088609441675</v>
      </c>
    </row>
    <row r="4" spans="1:58" ht="18" x14ac:dyDescent="0.35">
      <c r="A4" s="81" t="s">
        <v>24</v>
      </c>
      <c r="B4" s="77"/>
      <c r="C4" s="77"/>
      <c r="D4" s="77"/>
      <c r="E4" s="77">
        <v>3.9359999999999999</v>
      </c>
      <c r="F4" s="77">
        <v>23.57</v>
      </c>
      <c r="G4" s="77">
        <f t="shared" ref="G4:G32" si="0">F4/E4</f>
        <v>5.9883130081300813</v>
      </c>
      <c r="H4" s="77">
        <v>2.96</v>
      </c>
      <c r="I4" s="77">
        <v>8.2880000000000003</v>
      </c>
      <c r="J4" s="77">
        <f t="shared" ref="J4:J32" si="1">I4/H4</f>
        <v>2.8000000000000003</v>
      </c>
      <c r="K4" s="77">
        <v>0.55000000000000004</v>
      </c>
      <c r="L4" s="77">
        <v>3.15</v>
      </c>
      <c r="M4" s="77">
        <f t="shared" ref="M4:M32" si="2">L4/K4</f>
        <v>5.7272727272727266</v>
      </c>
      <c r="N4" s="77">
        <v>0.03</v>
      </c>
      <c r="O4" s="77">
        <v>7.0000000000000001E-3</v>
      </c>
      <c r="P4" s="77">
        <f t="shared" ref="P4:P32" si="3">O4/N4</f>
        <v>0.23333333333333334</v>
      </c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8"/>
      <c r="BA4" s="77"/>
      <c r="BB4" s="77"/>
      <c r="BC4" s="77"/>
      <c r="BD4" s="79">
        <v>7.476</v>
      </c>
      <c r="BE4" s="79">
        <v>35.015000000000001</v>
      </c>
      <c r="BF4" s="80">
        <f t="shared" ref="BF4:BF32" si="4">BE4/BD4</f>
        <v>4.6836543606206531</v>
      </c>
    </row>
    <row r="5" spans="1:58" ht="18" x14ac:dyDescent="0.35">
      <c r="A5" s="76" t="s">
        <v>25</v>
      </c>
      <c r="B5" s="77">
        <v>3.95</v>
      </c>
      <c r="C5" s="77">
        <v>2.7</v>
      </c>
      <c r="D5" s="77">
        <f>C5/B5</f>
        <v>0.68354430379746833</v>
      </c>
      <c r="E5" s="77">
        <v>18.105</v>
      </c>
      <c r="F5" s="77">
        <v>161.6</v>
      </c>
      <c r="G5" s="77">
        <f t="shared" si="0"/>
        <v>8.9257111295222309</v>
      </c>
      <c r="H5" s="77">
        <v>21.704000000000001</v>
      </c>
      <c r="I5" s="77">
        <v>20.606999999999999</v>
      </c>
      <c r="J5" s="77">
        <f t="shared" si="1"/>
        <v>0.94945632141540726</v>
      </c>
      <c r="K5" s="77">
        <v>16.87</v>
      </c>
      <c r="L5" s="77">
        <v>20.79</v>
      </c>
      <c r="M5" s="77">
        <f t="shared" si="2"/>
        <v>1.2323651452282156</v>
      </c>
      <c r="N5" s="77">
        <v>10.347</v>
      </c>
      <c r="O5" s="77">
        <v>61.606000000000002</v>
      </c>
      <c r="P5" s="77">
        <f t="shared" si="3"/>
        <v>5.9539963274379053</v>
      </c>
      <c r="Q5" s="77"/>
      <c r="R5" s="77"/>
      <c r="S5" s="77"/>
      <c r="T5" s="77">
        <v>29.651</v>
      </c>
      <c r="U5" s="77">
        <v>30.51</v>
      </c>
      <c r="V5" s="77">
        <f t="shared" ref="V5:V32" si="5">U5/T5</f>
        <v>1.0289703551313616</v>
      </c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8"/>
      <c r="BA5" s="77"/>
      <c r="BB5" s="77"/>
      <c r="BC5" s="77"/>
      <c r="BD5" s="79">
        <v>100.627</v>
      </c>
      <c r="BE5" s="79">
        <v>297.81299999999999</v>
      </c>
      <c r="BF5" s="80">
        <f t="shared" si="4"/>
        <v>2.9595734743160387</v>
      </c>
    </row>
    <row r="6" spans="1:58" ht="18" x14ac:dyDescent="0.35">
      <c r="A6" s="76" t="s">
        <v>26</v>
      </c>
      <c r="B6" s="77"/>
      <c r="C6" s="77"/>
      <c r="D6" s="77"/>
      <c r="E6" s="77">
        <v>0.25900000000000001</v>
      </c>
      <c r="F6" s="77">
        <v>2.27</v>
      </c>
      <c r="G6" s="77">
        <f t="shared" si="0"/>
        <v>8.7644787644787634</v>
      </c>
      <c r="H6" s="77">
        <v>1.51</v>
      </c>
      <c r="I6" s="77">
        <v>2.73</v>
      </c>
      <c r="J6" s="77">
        <f t="shared" si="1"/>
        <v>1.8079470198675496</v>
      </c>
      <c r="K6" s="77">
        <v>2.72</v>
      </c>
      <c r="L6" s="77">
        <v>2.83</v>
      </c>
      <c r="M6" s="77">
        <f t="shared" si="2"/>
        <v>1.0404411764705881</v>
      </c>
      <c r="N6" s="77">
        <v>1.69</v>
      </c>
      <c r="O6" s="77">
        <v>2.56</v>
      </c>
      <c r="P6" s="77">
        <f t="shared" si="3"/>
        <v>1.5147928994082842</v>
      </c>
      <c r="Q6" s="77"/>
      <c r="R6" s="77"/>
      <c r="S6" s="77"/>
      <c r="T6" s="77">
        <v>2.08</v>
      </c>
      <c r="U6" s="77">
        <v>1.86</v>
      </c>
      <c r="V6" s="77">
        <f t="shared" si="5"/>
        <v>0.89423076923076927</v>
      </c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8"/>
      <c r="BA6" s="77"/>
      <c r="BB6" s="77"/>
      <c r="BC6" s="77"/>
      <c r="BD6" s="79">
        <v>8.2590000000000003</v>
      </c>
      <c r="BE6" s="79">
        <v>12.25</v>
      </c>
      <c r="BF6" s="80">
        <f t="shared" si="4"/>
        <v>1.4832304153045162</v>
      </c>
    </row>
    <row r="7" spans="1:58" ht="18" x14ac:dyDescent="0.35">
      <c r="A7" s="76" t="s">
        <v>53</v>
      </c>
      <c r="B7" s="77"/>
      <c r="C7" s="77"/>
      <c r="D7" s="77"/>
      <c r="E7" s="77">
        <v>1.9330000000000001</v>
      </c>
      <c r="F7" s="77">
        <v>10.96</v>
      </c>
      <c r="G7" s="77">
        <f t="shared" si="0"/>
        <v>5.6699430936368342</v>
      </c>
      <c r="H7" s="77">
        <v>4.2430000000000003</v>
      </c>
      <c r="I7" s="77">
        <v>1.498</v>
      </c>
      <c r="J7" s="77">
        <f t="shared" si="1"/>
        <v>0.35305208578835728</v>
      </c>
      <c r="K7" s="77">
        <v>1.1499999999999999</v>
      </c>
      <c r="L7" s="77">
        <v>0.96</v>
      </c>
      <c r="M7" s="77">
        <f t="shared" si="2"/>
        <v>0.83478260869565224</v>
      </c>
      <c r="N7" s="77">
        <v>1.2310000000000001</v>
      </c>
      <c r="O7" s="77">
        <v>3.45</v>
      </c>
      <c r="P7" s="77">
        <f t="shared" si="3"/>
        <v>2.8025995125913892</v>
      </c>
      <c r="Q7" s="77"/>
      <c r="R7" s="77"/>
      <c r="S7" s="77"/>
      <c r="T7" s="77">
        <v>2.847</v>
      </c>
      <c r="U7" s="77">
        <v>0.77400000000000002</v>
      </c>
      <c r="V7" s="77">
        <f t="shared" si="5"/>
        <v>0.27186512118018968</v>
      </c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8"/>
      <c r="BA7" s="77"/>
      <c r="BB7" s="77"/>
      <c r="BC7" s="77"/>
      <c r="BD7" s="79">
        <v>11.404</v>
      </c>
      <c r="BE7" s="79">
        <v>17.641999999999999</v>
      </c>
      <c r="BF7" s="80">
        <f t="shared" si="4"/>
        <v>1.5470010522623641</v>
      </c>
    </row>
    <row r="8" spans="1:58" ht="18" x14ac:dyDescent="0.35">
      <c r="A8" s="76" t="s">
        <v>29</v>
      </c>
      <c r="B8" s="77"/>
      <c r="C8" s="77"/>
      <c r="D8" s="77"/>
      <c r="E8" s="77">
        <v>4.87</v>
      </c>
      <c r="F8" s="77">
        <v>108.25</v>
      </c>
      <c r="G8" s="77">
        <f t="shared" si="0"/>
        <v>22.227926078028748</v>
      </c>
      <c r="H8" s="77">
        <v>11.348000000000001</v>
      </c>
      <c r="I8" s="77">
        <v>22.071999999999999</v>
      </c>
      <c r="J8" s="77">
        <f t="shared" si="1"/>
        <v>1.9450123369756784</v>
      </c>
      <c r="K8" s="77">
        <v>4.01</v>
      </c>
      <c r="L8" s="77">
        <v>15.78</v>
      </c>
      <c r="M8" s="77">
        <f t="shared" si="2"/>
        <v>3.9351620947630925</v>
      </c>
      <c r="N8" s="77">
        <v>19.082999999999998</v>
      </c>
      <c r="O8" s="77">
        <v>151.012</v>
      </c>
      <c r="P8" s="77">
        <f t="shared" si="3"/>
        <v>7.9134308022847568</v>
      </c>
      <c r="Q8" s="77"/>
      <c r="R8" s="77"/>
      <c r="S8" s="77"/>
      <c r="T8" s="77">
        <v>74.998000000000005</v>
      </c>
      <c r="U8" s="77">
        <v>116.812</v>
      </c>
      <c r="V8" s="77">
        <f t="shared" si="5"/>
        <v>1.5575348675964691</v>
      </c>
      <c r="W8" s="77">
        <v>382.71899999999999</v>
      </c>
      <c r="X8" s="77">
        <v>384.46899999999999</v>
      </c>
      <c r="Y8" s="77">
        <f>X8/W8</f>
        <v>1.0045725453923113</v>
      </c>
      <c r="Z8" s="77">
        <v>38.130000000000003</v>
      </c>
      <c r="AA8" s="77">
        <v>79.242999999999995</v>
      </c>
      <c r="AB8" s="77">
        <f>AA8/Z8</f>
        <v>2.0782323629687909</v>
      </c>
      <c r="AC8" s="77">
        <v>7.117</v>
      </c>
      <c r="AD8" s="77">
        <v>13.531000000000001</v>
      </c>
      <c r="AE8" s="77">
        <f>AD8/AC8</f>
        <v>1.9012224251791485</v>
      </c>
      <c r="AF8" s="77">
        <v>7.274</v>
      </c>
      <c r="AG8" s="77">
        <v>6.9909999999999997</v>
      </c>
      <c r="AH8" s="77">
        <f t="shared" ref="AH8:AH32" si="6">AG8/AF8</f>
        <v>0.96109430849601318</v>
      </c>
      <c r="AI8" s="77">
        <v>17.43</v>
      </c>
      <c r="AJ8" s="77">
        <v>19.148</v>
      </c>
      <c r="AK8" s="77">
        <f>AJ8/AI8</f>
        <v>1.0985656913367756</v>
      </c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8"/>
      <c r="BA8" s="77"/>
      <c r="BB8" s="77"/>
      <c r="BC8" s="77"/>
      <c r="BD8" s="79">
        <v>566.97899999999993</v>
      </c>
      <c r="BE8" s="79">
        <v>917.30799999999988</v>
      </c>
      <c r="BF8" s="80">
        <f t="shared" si="4"/>
        <v>1.6178870822376137</v>
      </c>
    </row>
    <row r="9" spans="1:58" ht="18" x14ac:dyDescent="0.35">
      <c r="A9" s="76" t="s">
        <v>30</v>
      </c>
      <c r="B9" s="77"/>
      <c r="C9" s="77"/>
      <c r="D9" s="77"/>
      <c r="E9" s="77">
        <v>0.59199999999999997</v>
      </c>
      <c r="F9" s="77">
        <v>4.47</v>
      </c>
      <c r="G9" s="77">
        <f t="shared" si="0"/>
        <v>7.5506756756756754</v>
      </c>
      <c r="H9" s="77">
        <v>2.2000000000000002</v>
      </c>
      <c r="I9" s="77">
        <v>4</v>
      </c>
      <c r="J9" s="77">
        <f t="shared" si="1"/>
        <v>1.8181818181818181</v>
      </c>
      <c r="K9" s="77">
        <v>0.83</v>
      </c>
      <c r="L9" s="77">
        <v>2.1800000000000002</v>
      </c>
      <c r="M9" s="77">
        <f t="shared" si="2"/>
        <v>2.6265060240963858</v>
      </c>
      <c r="N9" s="77">
        <v>5</v>
      </c>
      <c r="O9" s="77">
        <v>32</v>
      </c>
      <c r="P9" s="77">
        <f t="shared" si="3"/>
        <v>6.4</v>
      </c>
      <c r="Q9" s="77"/>
      <c r="R9" s="77"/>
      <c r="S9" s="77"/>
      <c r="T9" s="77">
        <v>2.4500000000000002</v>
      </c>
      <c r="U9" s="77">
        <v>4.45</v>
      </c>
      <c r="V9" s="77">
        <f t="shared" si="5"/>
        <v>1.8163265306122449</v>
      </c>
      <c r="W9" s="77"/>
      <c r="X9" s="77"/>
      <c r="Y9" s="77"/>
      <c r="Z9" s="77">
        <v>0.3</v>
      </c>
      <c r="AA9" s="77">
        <v>0.2</v>
      </c>
      <c r="AB9" s="77">
        <f t="shared" ref="AB9:AB32" si="7">AA9/Z9</f>
        <v>0.66666666666666674</v>
      </c>
      <c r="AC9" s="77">
        <v>5.0999999999999996</v>
      </c>
      <c r="AD9" s="77">
        <v>9.15</v>
      </c>
      <c r="AE9" s="77">
        <f t="shared" ref="AE9:AE32" si="8">AD9/AC9</f>
        <v>1.7941176470588238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8"/>
      <c r="BA9" s="77"/>
      <c r="BB9" s="77"/>
      <c r="BC9" s="77"/>
      <c r="BD9" s="79">
        <v>16.472000000000001</v>
      </c>
      <c r="BE9" s="79">
        <v>56.45</v>
      </c>
      <c r="BF9" s="80">
        <f t="shared" si="4"/>
        <v>3.4270276833414277</v>
      </c>
    </row>
    <row r="10" spans="1:58" ht="18" x14ac:dyDescent="0.35">
      <c r="A10" s="76" t="s">
        <v>31</v>
      </c>
      <c r="B10" s="77"/>
      <c r="C10" s="77"/>
      <c r="D10" s="77"/>
      <c r="E10" s="77">
        <v>2.5049999999999999</v>
      </c>
      <c r="F10" s="77">
        <v>15.95</v>
      </c>
      <c r="G10" s="77">
        <f t="shared" si="0"/>
        <v>6.3672654690618762</v>
      </c>
      <c r="H10" s="77">
        <v>0.66300000000000003</v>
      </c>
      <c r="I10" s="77">
        <v>0.23899999999999999</v>
      </c>
      <c r="J10" s="77">
        <f t="shared" si="1"/>
        <v>0.3604826546003016</v>
      </c>
      <c r="K10" s="77">
        <v>0.14000000000000001</v>
      </c>
      <c r="L10" s="77">
        <v>0.09</v>
      </c>
      <c r="M10" s="77">
        <f t="shared" si="2"/>
        <v>0.64285714285714279</v>
      </c>
      <c r="N10" s="77">
        <v>4.9480000000000004</v>
      </c>
      <c r="O10" s="77">
        <v>8.4870000000000001</v>
      </c>
      <c r="P10" s="77">
        <f t="shared" si="3"/>
        <v>1.7152384801940177</v>
      </c>
      <c r="Q10" s="77"/>
      <c r="R10" s="77"/>
      <c r="S10" s="77"/>
      <c r="T10" s="77">
        <v>0.153</v>
      </c>
      <c r="U10" s="77">
        <v>7.3999999999999996E-2</v>
      </c>
      <c r="V10" s="77">
        <f t="shared" si="5"/>
        <v>0.48366013071895425</v>
      </c>
      <c r="W10" s="77">
        <v>7.8E-2</v>
      </c>
      <c r="X10" s="77">
        <v>2.1000000000000001E-2</v>
      </c>
      <c r="Y10" s="77">
        <f t="shared" ref="Y10:Y32" si="9">X10/W10</f>
        <v>0.26923076923076927</v>
      </c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8"/>
      <c r="BA10" s="77"/>
      <c r="BB10" s="77"/>
      <c r="BC10" s="77"/>
      <c r="BD10" s="79">
        <v>8.4870000000000001</v>
      </c>
      <c r="BE10" s="79">
        <v>24.861000000000001</v>
      </c>
      <c r="BF10" s="80">
        <f t="shared" si="4"/>
        <v>2.9293036408624955</v>
      </c>
    </row>
    <row r="11" spans="1:58" ht="18" x14ac:dyDescent="0.35">
      <c r="A11" s="76" t="s">
        <v>32</v>
      </c>
      <c r="B11" s="77"/>
      <c r="C11" s="77"/>
      <c r="D11" s="77"/>
      <c r="E11" s="77">
        <v>2.5000000000000001E-2</v>
      </c>
      <c r="F11" s="77">
        <v>0.03</v>
      </c>
      <c r="G11" s="77">
        <f t="shared" si="0"/>
        <v>1.2</v>
      </c>
      <c r="H11" s="77">
        <v>0.623</v>
      </c>
      <c r="I11" s="77">
        <v>0.34599999999999997</v>
      </c>
      <c r="J11" s="77">
        <f t="shared" si="1"/>
        <v>0.5553772070626003</v>
      </c>
      <c r="K11" s="77">
        <v>0.01</v>
      </c>
      <c r="L11" s="77">
        <v>0.01</v>
      </c>
      <c r="M11" s="77">
        <f t="shared" si="2"/>
        <v>1</v>
      </c>
      <c r="N11" s="77">
        <v>0.74399999999999999</v>
      </c>
      <c r="O11" s="77">
        <v>0.60899999999999999</v>
      </c>
      <c r="P11" s="77">
        <f t="shared" si="3"/>
        <v>0.81854838709677413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>
        <v>3.69</v>
      </c>
      <c r="AY11" s="77">
        <v>0.01</v>
      </c>
      <c r="AZ11" s="78">
        <f t="shared" ref="AZ11:AZ32" si="10">AY11/AX11</f>
        <v>2.7100271002710027E-3</v>
      </c>
      <c r="BA11" s="77"/>
      <c r="BB11" s="77"/>
      <c r="BC11" s="77"/>
      <c r="BD11" s="79">
        <v>5.0920000000000005</v>
      </c>
      <c r="BE11" s="79">
        <v>1.0049999999999999</v>
      </c>
      <c r="BF11" s="80">
        <f t="shared" si="4"/>
        <v>0.19736842105263153</v>
      </c>
    </row>
    <row r="12" spans="1:58" ht="18" x14ac:dyDescent="0.35">
      <c r="A12" s="76" t="s">
        <v>33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8"/>
      <c r="BA12" s="77"/>
      <c r="BB12" s="77"/>
      <c r="BC12" s="77"/>
      <c r="BD12" s="79">
        <v>0</v>
      </c>
      <c r="BE12" s="79">
        <v>0</v>
      </c>
      <c r="BF12" s="80"/>
    </row>
    <row r="13" spans="1:58" ht="18" x14ac:dyDescent="0.35">
      <c r="A13" s="76" t="s">
        <v>34</v>
      </c>
      <c r="B13" s="77">
        <v>37.75</v>
      </c>
      <c r="C13" s="77">
        <v>22.88</v>
      </c>
      <c r="D13" s="77">
        <f t="shared" ref="D13:D32" si="11">C13/B13</f>
        <v>0.60609271523178809</v>
      </c>
      <c r="E13" s="77">
        <v>20.809000000000001</v>
      </c>
      <c r="F13" s="77">
        <v>249.92</v>
      </c>
      <c r="G13" s="77">
        <f t="shared" si="0"/>
        <v>12.010187899466576</v>
      </c>
      <c r="H13" s="77">
        <v>127.602</v>
      </c>
      <c r="I13" s="77">
        <v>260.14299999999997</v>
      </c>
      <c r="J13" s="77">
        <f t="shared" si="1"/>
        <v>2.0387062898700643</v>
      </c>
      <c r="K13" s="77">
        <v>19.34</v>
      </c>
      <c r="L13" s="77">
        <v>122.76</v>
      </c>
      <c r="M13" s="77">
        <f t="shared" si="2"/>
        <v>6.3474663908996902</v>
      </c>
      <c r="N13" s="77">
        <v>6.5339999999999998</v>
      </c>
      <c r="O13" s="77">
        <v>5.42</v>
      </c>
      <c r="P13" s="77">
        <f t="shared" si="3"/>
        <v>0.82950719314355681</v>
      </c>
      <c r="Q13" s="77">
        <v>16.681999999999999</v>
      </c>
      <c r="R13" s="77">
        <v>1.7569999999999999</v>
      </c>
      <c r="S13" s="77">
        <f>R13/Q13</f>
        <v>0.10532310274547417</v>
      </c>
      <c r="T13" s="77">
        <v>1.778</v>
      </c>
      <c r="U13" s="77">
        <v>0.77</v>
      </c>
      <c r="V13" s="77">
        <f t="shared" si="5"/>
        <v>0.43307086614173229</v>
      </c>
      <c r="W13" s="77"/>
      <c r="X13" s="77"/>
      <c r="Y13" s="77"/>
      <c r="Z13" s="77"/>
      <c r="AA13" s="77"/>
      <c r="AB13" s="77"/>
      <c r="AC13" s="77">
        <v>0.5</v>
      </c>
      <c r="AD13" s="77">
        <v>1</v>
      </c>
      <c r="AE13" s="77">
        <f t="shared" si="8"/>
        <v>2</v>
      </c>
      <c r="AF13" s="77"/>
      <c r="AG13" s="77"/>
      <c r="AH13" s="77"/>
      <c r="AI13" s="77">
        <v>0.4</v>
      </c>
      <c r="AJ13" s="77">
        <v>1.75</v>
      </c>
      <c r="AK13" s="77">
        <f t="shared" ref="AK13:AK32" si="12">AJ13/AI13</f>
        <v>4.375</v>
      </c>
      <c r="AL13" s="77">
        <v>2.5999999999999999E-2</v>
      </c>
      <c r="AM13" s="77">
        <v>5.0000000000000001E-3</v>
      </c>
      <c r="AN13" s="77">
        <f>AM13/AL13</f>
        <v>0.19230769230769232</v>
      </c>
      <c r="AO13" s="77">
        <v>0.3</v>
      </c>
      <c r="AP13" s="77">
        <v>0.2</v>
      </c>
      <c r="AQ13" s="77">
        <f>AP13/AO13</f>
        <v>0.66666666666666674</v>
      </c>
      <c r="AR13" s="77">
        <v>0.122</v>
      </c>
      <c r="AS13" s="77">
        <v>0.17</v>
      </c>
      <c r="AT13" s="77">
        <f>AS13/AR13</f>
        <v>1.3934426229508199</v>
      </c>
      <c r="AU13" s="77">
        <v>15</v>
      </c>
      <c r="AV13" s="77">
        <v>70.5</v>
      </c>
      <c r="AW13" s="77">
        <f t="shared" ref="AW13:AW32" si="13">AV13/AU13</f>
        <v>4.7</v>
      </c>
      <c r="AX13" s="78">
        <v>0.69</v>
      </c>
      <c r="AY13" s="78">
        <v>0.23</v>
      </c>
      <c r="AZ13" s="78">
        <f t="shared" si="10"/>
        <v>0.33333333333333337</v>
      </c>
      <c r="BA13" s="77"/>
      <c r="BB13" s="77"/>
      <c r="BC13" s="77"/>
      <c r="BD13" s="79">
        <v>247.53300000000002</v>
      </c>
      <c r="BE13" s="79">
        <v>737.50499999999988</v>
      </c>
      <c r="BF13" s="80">
        <f t="shared" si="4"/>
        <v>2.9794209256947553</v>
      </c>
    </row>
    <row r="14" spans="1:58" ht="18" x14ac:dyDescent="0.35">
      <c r="A14" s="76" t="s">
        <v>35</v>
      </c>
      <c r="B14" s="77">
        <v>85.14</v>
      </c>
      <c r="C14" s="77">
        <v>38</v>
      </c>
      <c r="D14" s="77">
        <f t="shared" si="11"/>
        <v>0.4463237021376556</v>
      </c>
      <c r="E14" s="77">
        <v>4.37</v>
      </c>
      <c r="F14" s="77">
        <v>86.27</v>
      </c>
      <c r="G14" s="77">
        <f t="shared" si="0"/>
        <v>19.741418764302058</v>
      </c>
      <c r="H14" s="77">
        <v>1.7210000000000001</v>
      </c>
      <c r="I14" s="77">
        <v>1.6160000000000001</v>
      </c>
      <c r="J14" s="77">
        <f t="shared" si="1"/>
        <v>0.9389889599070308</v>
      </c>
      <c r="K14" s="77">
        <v>2.78</v>
      </c>
      <c r="L14" s="77">
        <v>8.82</v>
      </c>
      <c r="M14" s="77">
        <f t="shared" si="2"/>
        <v>3.1726618705035974</v>
      </c>
      <c r="N14" s="77">
        <v>7.0000000000000007E-2</v>
      </c>
      <c r="O14" s="77">
        <v>0.4</v>
      </c>
      <c r="P14" s="77">
        <f t="shared" si="3"/>
        <v>5.7142857142857144</v>
      </c>
      <c r="Q14" s="77">
        <v>39.08</v>
      </c>
      <c r="R14" s="77">
        <v>18.350000000000001</v>
      </c>
      <c r="S14" s="77">
        <f t="shared" ref="S14:S32" si="14">R14/Q14</f>
        <v>0.46954964176049135</v>
      </c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>
        <v>0.11</v>
      </c>
      <c r="AM14" s="77">
        <v>0</v>
      </c>
      <c r="AN14" s="77">
        <f t="shared" ref="AN14:AN31" si="15">AM14/AL14</f>
        <v>0</v>
      </c>
      <c r="AO14" s="77">
        <v>22.7</v>
      </c>
      <c r="AP14" s="77">
        <v>14.68</v>
      </c>
      <c r="AQ14" s="77">
        <f t="shared" ref="AQ14:AQ32" si="16">AP14/AO14</f>
        <v>0.6466960352422908</v>
      </c>
      <c r="AR14" s="77">
        <v>1.02</v>
      </c>
      <c r="AS14" s="77">
        <v>7.0000000000000007E-2</v>
      </c>
      <c r="AT14" s="77">
        <f t="shared" ref="AT14:AT32" si="17">AS14/AR14</f>
        <v>6.8627450980392163E-2</v>
      </c>
      <c r="AU14" s="77">
        <v>10.61</v>
      </c>
      <c r="AV14" s="77">
        <v>36.47</v>
      </c>
      <c r="AW14" s="77">
        <f t="shared" si="13"/>
        <v>3.4373232799245996</v>
      </c>
      <c r="AX14" s="78">
        <v>7.0000000000000007E-2</v>
      </c>
      <c r="AY14" s="78">
        <v>0.04</v>
      </c>
      <c r="AZ14" s="78">
        <f t="shared" si="10"/>
        <v>0.5714285714285714</v>
      </c>
      <c r="BA14" s="77"/>
      <c r="BB14" s="77"/>
      <c r="BC14" s="77"/>
      <c r="BD14" s="79">
        <v>167.67099999999999</v>
      </c>
      <c r="BE14" s="79">
        <v>204.71599999999998</v>
      </c>
      <c r="BF14" s="80">
        <f t="shared" si="4"/>
        <v>1.2209386238526638</v>
      </c>
    </row>
    <row r="15" spans="1:58" ht="18" x14ac:dyDescent="0.35">
      <c r="A15" s="76" t="s">
        <v>36</v>
      </c>
      <c r="B15" s="77"/>
      <c r="C15" s="77"/>
      <c r="D15" s="77"/>
      <c r="E15" s="77">
        <v>23.431000000000001</v>
      </c>
      <c r="F15" s="77">
        <v>377.47</v>
      </c>
      <c r="G15" s="77">
        <f t="shared" si="0"/>
        <v>16.109854466305322</v>
      </c>
      <c r="H15" s="77">
        <v>90.980999999999995</v>
      </c>
      <c r="I15" s="77">
        <v>244.554</v>
      </c>
      <c r="J15" s="77">
        <f t="shared" si="1"/>
        <v>2.6879678174563923</v>
      </c>
      <c r="K15" s="77">
        <v>11.7</v>
      </c>
      <c r="L15" s="77">
        <v>41.29</v>
      </c>
      <c r="M15" s="77">
        <f t="shared" si="2"/>
        <v>3.5290598290598294</v>
      </c>
      <c r="N15" s="82">
        <v>92.5</v>
      </c>
      <c r="O15" s="82">
        <v>405</v>
      </c>
      <c r="P15" s="77">
        <f t="shared" si="3"/>
        <v>4.3783783783783781</v>
      </c>
      <c r="Q15" s="77"/>
      <c r="R15" s="77"/>
      <c r="S15" s="77"/>
      <c r="T15" s="77">
        <v>274.09800000000001</v>
      </c>
      <c r="U15" s="77">
        <v>383.68099999999998</v>
      </c>
      <c r="V15" s="77">
        <f t="shared" si="5"/>
        <v>1.399794963845048</v>
      </c>
      <c r="W15" s="77">
        <v>0.50800000000000001</v>
      </c>
      <c r="X15" s="77">
        <v>0.54100000000000004</v>
      </c>
      <c r="Y15" s="77">
        <f t="shared" si="9"/>
        <v>1.0649606299212599</v>
      </c>
      <c r="Z15" s="77">
        <v>1.472</v>
      </c>
      <c r="AA15" s="77">
        <v>2.714</v>
      </c>
      <c r="AB15" s="77">
        <f t="shared" si="7"/>
        <v>1.84375</v>
      </c>
      <c r="AC15" s="77">
        <v>52.145000000000003</v>
      </c>
      <c r="AD15" s="77">
        <v>83.337000000000003</v>
      </c>
      <c r="AE15" s="77">
        <f t="shared" si="8"/>
        <v>1.5981781570620386</v>
      </c>
      <c r="AF15" s="77">
        <v>4.7910000000000004</v>
      </c>
      <c r="AG15" s="77">
        <v>4.8540000000000001</v>
      </c>
      <c r="AH15" s="77">
        <f t="shared" si="6"/>
        <v>1.0131496556042578</v>
      </c>
      <c r="AI15" s="77">
        <v>2.7E-2</v>
      </c>
      <c r="AJ15" s="77">
        <v>2.7E-2</v>
      </c>
      <c r="AK15" s="77">
        <f t="shared" si="12"/>
        <v>1</v>
      </c>
      <c r="AL15" s="77"/>
      <c r="AM15" s="77"/>
      <c r="AN15" s="77"/>
      <c r="AO15" s="77"/>
      <c r="AP15" s="77"/>
      <c r="AQ15" s="77"/>
      <c r="AR15" s="77"/>
      <c r="AS15" s="77"/>
      <c r="AT15" s="77"/>
      <c r="AU15" s="77">
        <v>0.80500000000000005</v>
      </c>
      <c r="AV15" s="77">
        <v>7.851</v>
      </c>
      <c r="AW15" s="77">
        <f t="shared" si="13"/>
        <v>9.7527950310559</v>
      </c>
      <c r="AX15" s="77"/>
      <c r="AY15" s="77"/>
      <c r="AZ15" s="78"/>
      <c r="BA15" s="77"/>
      <c r="BB15" s="77"/>
      <c r="BC15" s="77"/>
      <c r="BD15" s="79">
        <v>552.45800000000008</v>
      </c>
      <c r="BE15" s="79">
        <v>1551.319</v>
      </c>
      <c r="BF15" s="80">
        <f t="shared" si="4"/>
        <v>2.8080306557240546</v>
      </c>
    </row>
    <row r="16" spans="1:58" ht="18" x14ac:dyDescent="0.35">
      <c r="A16" s="76" t="s">
        <v>37</v>
      </c>
      <c r="B16" s="77">
        <v>0.1</v>
      </c>
      <c r="C16" s="77">
        <v>0.12</v>
      </c>
      <c r="D16" s="77">
        <f t="shared" si="11"/>
        <v>1.2</v>
      </c>
      <c r="E16" s="77">
        <v>9.5950000000000006</v>
      </c>
      <c r="F16" s="77">
        <v>140.66</v>
      </c>
      <c r="G16" s="77">
        <f t="shared" si="0"/>
        <v>14.659718603439289</v>
      </c>
      <c r="H16" s="77">
        <v>2.34</v>
      </c>
      <c r="I16" s="77">
        <v>6.2</v>
      </c>
      <c r="J16" s="77">
        <f t="shared" si="1"/>
        <v>2.6495726495726499</v>
      </c>
      <c r="K16" s="77">
        <v>15.76</v>
      </c>
      <c r="L16" s="77">
        <v>38.590000000000003</v>
      </c>
      <c r="M16" s="77">
        <f t="shared" si="2"/>
        <v>2.4486040609137056</v>
      </c>
      <c r="N16" s="77">
        <v>2.58</v>
      </c>
      <c r="O16" s="77">
        <v>13.96</v>
      </c>
      <c r="P16" s="77">
        <f t="shared" si="3"/>
        <v>5.4108527131782944</v>
      </c>
      <c r="Q16" s="77"/>
      <c r="R16" s="77"/>
      <c r="S16" s="77"/>
      <c r="T16" s="77">
        <v>1.93</v>
      </c>
      <c r="U16" s="77">
        <v>4.3899999999999997</v>
      </c>
      <c r="V16" s="77">
        <f t="shared" si="5"/>
        <v>2.2746113989637307</v>
      </c>
      <c r="W16" s="77"/>
      <c r="X16" s="77"/>
      <c r="Y16" s="77"/>
      <c r="Z16" s="77"/>
      <c r="AA16" s="77"/>
      <c r="AB16" s="77"/>
      <c r="AC16" s="77">
        <v>0.88</v>
      </c>
      <c r="AD16" s="77">
        <v>6.42</v>
      </c>
      <c r="AE16" s="77">
        <f t="shared" si="8"/>
        <v>7.295454545454545</v>
      </c>
      <c r="AF16" s="77"/>
      <c r="AG16" s="77"/>
      <c r="AH16" s="77"/>
      <c r="AI16" s="77"/>
      <c r="AJ16" s="77"/>
      <c r="AK16" s="77"/>
      <c r="AL16" s="77">
        <v>0.03</v>
      </c>
      <c r="AM16" s="77">
        <v>0.03</v>
      </c>
      <c r="AN16" s="77">
        <f t="shared" si="15"/>
        <v>1</v>
      </c>
      <c r="AO16" s="77">
        <v>0.1</v>
      </c>
      <c r="AP16" s="77">
        <v>0.12</v>
      </c>
      <c r="AQ16" s="77">
        <f t="shared" si="16"/>
        <v>1.2</v>
      </c>
      <c r="AR16" s="77"/>
      <c r="AS16" s="77"/>
      <c r="AT16" s="77"/>
      <c r="AU16" s="77">
        <v>1.08</v>
      </c>
      <c r="AV16" s="77">
        <v>8.77</v>
      </c>
      <c r="AW16" s="77">
        <f t="shared" si="13"/>
        <v>8.1203703703703702</v>
      </c>
      <c r="AX16" s="77"/>
      <c r="AY16" s="77"/>
      <c r="AZ16" s="78"/>
      <c r="BA16" s="77"/>
      <c r="BB16" s="77"/>
      <c r="BC16" s="77"/>
      <c r="BD16" s="79">
        <v>34.395000000000003</v>
      </c>
      <c r="BE16" s="79">
        <v>219.26</v>
      </c>
      <c r="BF16" s="80">
        <f t="shared" si="4"/>
        <v>6.3747637738043315</v>
      </c>
    </row>
    <row r="17" spans="1:58" ht="18" x14ac:dyDescent="0.35">
      <c r="A17" s="83" t="s">
        <v>38</v>
      </c>
      <c r="B17" s="77"/>
      <c r="C17" s="77"/>
      <c r="D17" s="77"/>
      <c r="E17" s="77">
        <v>2.4</v>
      </c>
      <c r="F17" s="77">
        <v>17.86</v>
      </c>
      <c r="G17" s="77">
        <f t="shared" si="0"/>
        <v>7.4416666666666664</v>
      </c>
      <c r="H17" s="77">
        <v>6.5</v>
      </c>
      <c r="I17" s="77">
        <v>3.9</v>
      </c>
      <c r="J17" s="77">
        <f t="shared" si="1"/>
        <v>0.6</v>
      </c>
      <c r="K17" s="77">
        <v>2.5499999999999998</v>
      </c>
      <c r="L17" s="77">
        <v>6.17</v>
      </c>
      <c r="M17" s="77">
        <f t="shared" si="2"/>
        <v>2.4196078431372552</v>
      </c>
      <c r="N17" s="77">
        <v>0.17</v>
      </c>
      <c r="O17" s="77">
        <v>0</v>
      </c>
      <c r="P17" s="77">
        <f t="shared" si="3"/>
        <v>0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8"/>
      <c r="BA17" s="77"/>
      <c r="BB17" s="77"/>
      <c r="BC17" s="77"/>
      <c r="BD17" s="79">
        <v>11.62</v>
      </c>
      <c r="BE17" s="79">
        <v>27.93</v>
      </c>
      <c r="BF17" s="80">
        <f t="shared" si="4"/>
        <v>2.4036144578313254</v>
      </c>
    </row>
    <row r="18" spans="1:58" ht="18" x14ac:dyDescent="0.35">
      <c r="A18" s="76" t="s">
        <v>39</v>
      </c>
      <c r="B18" s="77">
        <v>1.03</v>
      </c>
      <c r="C18" s="77">
        <v>0.77</v>
      </c>
      <c r="D18" s="77">
        <f t="shared" si="11"/>
        <v>0.74757281553398058</v>
      </c>
      <c r="E18" s="77">
        <v>9.9440000000000008</v>
      </c>
      <c r="F18" s="77">
        <v>66.2</v>
      </c>
      <c r="G18" s="77">
        <f t="shared" si="0"/>
        <v>6.65728077232502</v>
      </c>
      <c r="H18" s="77">
        <v>2.3199999999999998</v>
      </c>
      <c r="I18" s="77">
        <v>2.35</v>
      </c>
      <c r="J18" s="77">
        <f t="shared" si="1"/>
        <v>1.0129310344827587</v>
      </c>
      <c r="K18" s="77">
        <v>2.65</v>
      </c>
      <c r="L18" s="77">
        <v>3.3</v>
      </c>
      <c r="M18" s="77">
        <f t="shared" si="2"/>
        <v>1.2452830188679245</v>
      </c>
      <c r="N18" s="77">
        <v>0.28000000000000003</v>
      </c>
      <c r="O18" s="77">
        <v>1.1140000000000001</v>
      </c>
      <c r="P18" s="77">
        <f t="shared" si="3"/>
        <v>3.9785714285714286</v>
      </c>
      <c r="Q18" s="77"/>
      <c r="R18" s="77"/>
      <c r="S18" s="77"/>
      <c r="T18" s="77">
        <v>1.2E-2</v>
      </c>
      <c r="U18" s="77">
        <v>5.0999999999999997E-2</v>
      </c>
      <c r="V18" s="77">
        <f t="shared" si="5"/>
        <v>4.25</v>
      </c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>
        <v>2.4359999999999999</v>
      </c>
      <c r="AM18" s="77">
        <v>5</v>
      </c>
      <c r="AN18" s="77">
        <f t="shared" si="15"/>
        <v>2.0525451559934318</v>
      </c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8"/>
      <c r="BA18" s="77"/>
      <c r="BB18" s="77"/>
      <c r="BC18" s="77"/>
      <c r="BD18" s="79">
        <v>18.672000000000001</v>
      </c>
      <c r="BE18" s="79">
        <v>78.784999999999997</v>
      </c>
      <c r="BF18" s="80">
        <f t="shared" si="4"/>
        <v>4.219419451585261</v>
      </c>
    </row>
    <row r="19" spans="1:58" ht="18" x14ac:dyDescent="0.35">
      <c r="A19" s="76" t="s">
        <v>40</v>
      </c>
      <c r="B19" s="77">
        <v>7.0000000000000007E-2</v>
      </c>
      <c r="C19" s="77">
        <v>1E-4</v>
      </c>
      <c r="D19" s="77">
        <f t="shared" si="11"/>
        <v>1.4285714285714286E-3</v>
      </c>
      <c r="E19" s="77">
        <v>8.5530000000000008</v>
      </c>
      <c r="F19" s="77">
        <v>60.13</v>
      </c>
      <c r="G19" s="77">
        <f t="shared" si="0"/>
        <v>7.0302817724774931</v>
      </c>
      <c r="H19" s="77">
        <v>11.196</v>
      </c>
      <c r="I19" s="77">
        <v>10.917999999999999</v>
      </c>
      <c r="J19" s="77">
        <f t="shared" si="1"/>
        <v>0.97516970346552334</v>
      </c>
      <c r="K19" s="77">
        <v>7.7380000000000004</v>
      </c>
      <c r="L19" s="77">
        <v>29.82</v>
      </c>
      <c r="M19" s="77">
        <f t="shared" si="2"/>
        <v>3.8537089687257686</v>
      </c>
      <c r="N19" s="77">
        <v>2.3E-2</v>
      </c>
      <c r="O19" s="77">
        <v>1.2E-2</v>
      </c>
      <c r="P19" s="77">
        <f t="shared" si="3"/>
        <v>0.52173913043478259</v>
      </c>
      <c r="Q19" s="77"/>
      <c r="R19" s="77"/>
      <c r="S19" s="77"/>
      <c r="T19" s="77">
        <v>7.0000000000000007E-2</v>
      </c>
      <c r="U19" s="77">
        <v>0.02</v>
      </c>
      <c r="V19" s="77">
        <f t="shared" si="5"/>
        <v>0.2857142857142857</v>
      </c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>
        <v>1E-3</v>
      </c>
      <c r="AJ19" s="77">
        <v>3.0000000000000001E-3</v>
      </c>
      <c r="AK19" s="77">
        <f t="shared" si="12"/>
        <v>3</v>
      </c>
      <c r="AL19" s="77">
        <v>1E-3</v>
      </c>
      <c r="AM19" s="77">
        <v>0</v>
      </c>
      <c r="AN19" s="77">
        <f t="shared" si="15"/>
        <v>0</v>
      </c>
      <c r="AO19" s="77"/>
      <c r="AP19" s="77"/>
      <c r="AQ19" s="77"/>
      <c r="AR19" s="77"/>
      <c r="AS19" s="77"/>
      <c r="AT19" s="77"/>
      <c r="AU19" s="77">
        <v>0.01</v>
      </c>
      <c r="AV19" s="77">
        <v>2.5999999999999999E-2</v>
      </c>
      <c r="AW19" s="77">
        <f t="shared" si="13"/>
        <v>2.5999999999999996</v>
      </c>
      <c r="AX19" s="77"/>
      <c r="AY19" s="77"/>
      <c r="AZ19" s="78"/>
      <c r="BA19" s="77"/>
      <c r="BB19" s="77"/>
      <c r="BC19" s="77"/>
      <c r="BD19" s="79">
        <v>27.662000000000006</v>
      </c>
      <c r="BE19" s="79">
        <v>100.92909999999999</v>
      </c>
      <c r="BF19" s="80">
        <f t="shared" si="4"/>
        <v>3.6486551948521426</v>
      </c>
    </row>
    <row r="20" spans="1:58" ht="18" x14ac:dyDescent="0.35">
      <c r="A20" s="81" t="s">
        <v>41</v>
      </c>
      <c r="B20" s="77">
        <v>0.13</v>
      </c>
      <c r="C20" s="77">
        <v>0.03</v>
      </c>
      <c r="D20" s="77">
        <f t="shared" si="11"/>
        <v>0.23076923076923075</v>
      </c>
      <c r="E20" s="77">
        <v>4.8710000000000004</v>
      </c>
      <c r="F20" s="77">
        <v>48.65</v>
      </c>
      <c r="G20" s="77">
        <f t="shared" si="0"/>
        <v>9.9876822007801263</v>
      </c>
      <c r="H20" s="77">
        <v>0.182</v>
      </c>
      <c r="I20" s="77">
        <v>0.80500000000000005</v>
      </c>
      <c r="J20" s="77">
        <f t="shared" si="1"/>
        <v>4.4230769230769234</v>
      </c>
      <c r="K20" s="77">
        <v>0.71</v>
      </c>
      <c r="L20" s="77">
        <v>2.04</v>
      </c>
      <c r="M20" s="77">
        <f t="shared" si="2"/>
        <v>2.8732394366197185</v>
      </c>
      <c r="N20" s="77">
        <v>0.29799999999999999</v>
      </c>
      <c r="O20" s="77">
        <v>3.0550000000000002</v>
      </c>
      <c r="P20" s="77">
        <f t="shared" si="3"/>
        <v>10.251677852348994</v>
      </c>
      <c r="Q20" s="77">
        <v>3.6230000000000002</v>
      </c>
      <c r="R20" s="77">
        <v>2.0209999999999999</v>
      </c>
      <c r="S20" s="77">
        <f t="shared" si="14"/>
        <v>0.55782500690035874</v>
      </c>
      <c r="T20" s="77">
        <v>0.05</v>
      </c>
      <c r="U20" s="77">
        <v>9.6000000000000002E-2</v>
      </c>
      <c r="V20" s="77">
        <f t="shared" si="5"/>
        <v>1.92</v>
      </c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8"/>
      <c r="BA20" s="77"/>
      <c r="BB20" s="77"/>
      <c r="BC20" s="77"/>
      <c r="BD20" s="79">
        <v>9.8640000000000008</v>
      </c>
      <c r="BE20" s="79">
        <v>56.696999999999996</v>
      </c>
      <c r="BF20" s="80">
        <f t="shared" si="4"/>
        <v>5.7478710462287097</v>
      </c>
    </row>
    <row r="21" spans="1:58" ht="18" x14ac:dyDescent="0.35">
      <c r="A21" s="76" t="s">
        <v>42</v>
      </c>
      <c r="B21" s="77"/>
      <c r="C21" s="77"/>
      <c r="D21" s="77"/>
      <c r="E21" s="77">
        <v>16.574999999999999</v>
      </c>
      <c r="F21" s="77">
        <v>128.02000000000001</v>
      </c>
      <c r="G21" s="77">
        <f t="shared" si="0"/>
        <v>7.7236802413273011</v>
      </c>
      <c r="H21" s="77">
        <v>71.695999999999998</v>
      </c>
      <c r="I21" s="77">
        <v>69.165999999999997</v>
      </c>
      <c r="J21" s="77">
        <f t="shared" si="1"/>
        <v>0.96471211783084132</v>
      </c>
      <c r="K21" s="77">
        <v>27.87</v>
      </c>
      <c r="L21" s="77">
        <v>43.61</v>
      </c>
      <c r="M21" s="77">
        <f t="shared" si="2"/>
        <v>1.5647649802655184</v>
      </c>
      <c r="N21" s="77">
        <v>10.9</v>
      </c>
      <c r="O21" s="77">
        <v>35.5</v>
      </c>
      <c r="P21" s="77">
        <f t="shared" si="3"/>
        <v>3.2568807339449539</v>
      </c>
      <c r="Q21" s="77"/>
      <c r="R21" s="77"/>
      <c r="S21" s="77"/>
      <c r="T21" s="77">
        <v>19.608000000000001</v>
      </c>
      <c r="U21" s="77">
        <v>10.8</v>
      </c>
      <c r="V21" s="77">
        <f t="shared" si="5"/>
        <v>0.55079559363525099</v>
      </c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8"/>
      <c r="BA21" s="77"/>
      <c r="BB21" s="77"/>
      <c r="BC21" s="77"/>
      <c r="BD21" s="79">
        <v>146.649</v>
      </c>
      <c r="BE21" s="79">
        <v>287.096</v>
      </c>
      <c r="BF21" s="80">
        <f t="shared" si="4"/>
        <v>1.9577085421653062</v>
      </c>
    </row>
    <row r="22" spans="1:58" ht="18" x14ac:dyDescent="0.35">
      <c r="A22" s="76" t="s">
        <v>44</v>
      </c>
      <c r="B22" s="77"/>
      <c r="C22" s="77"/>
      <c r="D22" s="77"/>
      <c r="E22" s="77"/>
      <c r="F22" s="77"/>
      <c r="G22" s="77"/>
      <c r="H22" s="77">
        <v>7.5010000000000003</v>
      </c>
      <c r="I22" s="77">
        <v>14.084</v>
      </c>
      <c r="J22" s="77">
        <f t="shared" si="1"/>
        <v>1.8776163178242899</v>
      </c>
      <c r="K22" s="77">
        <v>0.9</v>
      </c>
      <c r="L22" s="77">
        <v>3.19</v>
      </c>
      <c r="M22" s="77">
        <f t="shared" si="2"/>
        <v>3.5444444444444443</v>
      </c>
      <c r="N22" s="77">
        <v>6.4560000000000004</v>
      </c>
      <c r="O22" s="77">
        <v>73.741</v>
      </c>
      <c r="P22" s="77">
        <f t="shared" si="3"/>
        <v>11.422087980173481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>
        <v>12.455</v>
      </c>
      <c r="AD22" s="77">
        <v>2.3580000000000001</v>
      </c>
      <c r="AE22" s="77">
        <f t="shared" si="8"/>
        <v>0.18932155760738659</v>
      </c>
      <c r="AF22" s="77"/>
      <c r="AG22" s="77"/>
      <c r="AH22" s="77"/>
      <c r="AI22" s="77">
        <v>4.0049999999999999</v>
      </c>
      <c r="AJ22" s="77">
        <v>5.5090000000000003</v>
      </c>
      <c r="AK22" s="77">
        <f t="shared" si="12"/>
        <v>1.3755305867665419</v>
      </c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8"/>
      <c r="BA22" s="77"/>
      <c r="BB22" s="77"/>
      <c r="BC22" s="77"/>
      <c r="BD22" s="79">
        <v>31.316999999999997</v>
      </c>
      <c r="BE22" s="79">
        <v>98.882000000000005</v>
      </c>
      <c r="BF22" s="80">
        <f t="shared" si="4"/>
        <v>3.157454417728391</v>
      </c>
    </row>
    <row r="23" spans="1:58" ht="18" x14ac:dyDescent="0.35">
      <c r="A23" s="76" t="s">
        <v>45</v>
      </c>
      <c r="B23" s="77"/>
      <c r="C23" s="77"/>
      <c r="D23" s="77"/>
      <c r="E23" s="77">
        <v>0.113</v>
      </c>
      <c r="F23" s="77">
        <v>0.27</v>
      </c>
      <c r="G23" s="77">
        <f t="shared" si="0"/>
        <v>2.3893805309734515</v>
      </c>
      <c r="H23" s="77">
        <v>8.0630000000000006</v>
      </c>
      <c r="I23" s="77">
        <v>13.343</v>
      </c>
      <c r="J23" s="77">
        <f t="shared" si="1"/>
        <v>1.6548431105047747</v>
      </c>
      <c r="K23" s="77">
        <v>0.52</v>
      </c>
      <c r="L23" s="77">
        <v>0.47</v>
      </c>
      <c r="M23" s="77">
        <f t="shared" si="2"/>
        <v>0.90384615384615374</v>
      </c>
      <c r="N23" s="77">
        <v>112.893</v>
      </c>
      <c r="O23" s="77">
        <v>582.08299999999997</v>
      </c>
      <c r="P23" s="77">
        <f t="shared" si="3"/>
        <v>5.1560592773688354</v>
      </c>
      <c r="Q23" s="77"/>
      <c r="R23" s="77"/>
      <c r="S23" s="77"/>
      <c r="T23" s="77">
        <v>97.796999999999997</v>
      </c>
      <c r="U23" s="77">
        <v>130.197</v>
      </c>
      <c r="V23" s="77">
        <f t="shared" si="5"/>
        <v>1.3312985060891438</v>
      </c>
      <c r="W23" s="77">
        <v>581.36300000000006</v>
      </c>
      <c r="X23" s="77">
        <v>302.16899999999998</v>
      </c>
      <c r="Y23" s="77">
        <f t="shared" si="9"/>
        <v>0.51975959942411187</v>
      </c>
      <c r="Z23" s="77">
        <v>24.366</v>
      </c>
      <c r="AA23" s="77">
        <v>19.952999999999999</v>
      </c>
      <c r="AB23" s="77">
        <f t="shared" si="7"/>
        <v>0.81888697365180985</v>
      </c>
      <c r="AC23" s="77">
        <v>67.656999999999996</v>
      </c>
      <c r="AD23" s="77">
        <v>81.144999999999996</v>
      </c>
      <c r="AE23" s="77">
        <f t="shared" si="8"/>
        <v>1.1993585290509481</v>
      </c>
      <c r="AF23" s="77">
        <v>13.292</v>
      </c>
      <c r="AG23" s="77">
        <v>8.7370000000000001</v>
      </c>
      <c r="AH23" s="77">
        <f t="shared" si="6"/>
        <v>0.65731266927475174</v>
      </c>
      <c r="AI23" s="77">
        <v>12.8</v>
      </c>
      <c r="AJ23" s="77">
        <v>6</v>
      </c>
      <c r="AK23" s="77">
        <f t="shared" si="12"/>
        <v>0.46875</v>
      </c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8"/>
      <c r="BA23" s="77"/>
      <c r="BB23" s="77"/>
      <c r="BC23" s="77"/>
      <c r="BD23" s="79">
        <v>918.86400000000003</v>
      </c>
      <c r="BE23" s="79">
        <v>1144.367</v>
      </c>
      <c r="BF23" s="80">
        <f t="shared" si="4"/>
        <v>1.245414990684149</v>
      </c>
    </row>
    <row r="24" spans="1:58" ht="18" x14ac:dyDescent="0.35">
      <c r="A24" s="76" t="s">
        <v>46</v>
      </c>
      <c r="B24" s="77"/>
      <c r="C24" s="77"/>
      <c r="D24" s="77"/>
      <c r="E24" s="77">
        <v>12.3</v>
      </c>
      <c r="F24" s="77">
        <v>55.9</v>
      </c>
      <c r="G24" s="77">
        <f t="shared" si="0"/>
        <v>4.5447154471544708</v>
      </c>
      <c r="H24" s="77"/>
      <c r="I24" s="77"/>
      <c r="J24" s="77"/>
      <c r="K24" s="77">
        <v>1.95</v>
      </c>
      <c r="L24" s="77">
        <v>5.68</v>
      </c>
      <c r="M24" s="77">
        <f t="shared" si="2"/>
        <v>2.9128205128205127</v>
      </c>
      <c r="N24" s="77"/>
      <c r="O24" s="77"/>
      <c r="P24" s="77"/>
      <c r="Q24" s="77">
        <v>18</v>
      </c>
      <c r="R24" s="77">
        <v>5</v>
      </c>
      <c r="S24" s="77">
        <f t="shared" si="14"/>
        <v>0.27777777777777779</v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8"/>
      <c r="BA24" s="77"/>
      <c r="BB24" s="77"/>
      <c r="BC24" s="77"/>
      <c r="BD24" s="79">
        <v>32.25</v>
      </c>
      <c r="BE24" s="79">
        <v>66.58</v>
      </c>
      <c r="BF24" s="80">
        <f t="shared" si="4"/>
        <v>2.0644961240310078</v>
      </c>
    </row>
    <row r="25" spans="1:58" ht="18" x14ac:dyDescent="0.35">
      <c r="A25" s="76" t="s">
        <v>47</v>
      </c>
      <c r="B25" s="77">
        <v>4.3600000000000003</v>
      </c>
      <c r="C25" s="77">
        <v>0.99</v>
      </c>
      <c r="D25" s="77">
        <f t="shared" si="11"/>
        <v>0.22706422018348621</v>
      </c>
      <c r="E25" s="77">
        <v>0.38</v>
      </c>
      <c r="F25" s="77">
        <v>7.43</v>
      </c>
      <c r="G25" s="77">
        <f t="shared" si="0"/>
        <v>19.552631578947366</v>
      </c>
      <c r="H25" s="77">
        <v>2.5289999999999999</v>
      </c>
      <c r="I25" s="77">
        <v>1.9019999999999999</v>
      </c>
      <c r="J25" s="77">
        <f t="shared" si="1"/>
        <v>0.75207591933570583</v>
      </c>
      <c r="K25" s="77">
        <v>18.079999999999998</v>
      </c>
      <c r="L25" s="77">
        <v>73.13</v>
      </c>
      <c r="M25" s="77">
        <f t="shared" si="2"/>
        <v>4.0448008849557526</v>
      </c>
      <c r="N25" s="77">
        <v>0.60299999999999998</v>
      </c>
      <c r="O25" s="77">
        <v>3.4620000000000002</v>
      </c>
      <c r="P25" s="77">
        <f t="shared" si="3"/>
        <v>5.7412935323383092</v>
      </c>
      <c r="Q25" s="77">
        <v>3.8620000000000001</v>
      </c>
      <c r="R25" s="77">
        <v>0.35</v>
      </c>
      <c r="S25" s="77">
        <f t="shared" si="14"/>
        <v>9.062661833247021E-2</v>
      </c>
      <c r="T25" s="77">
        <v>0.123</v>
      </c>
      <c r="U25" s="77">
        <v>8.4000000000000005E-2</v>
      </c>
      <c r="V25" s="77">
        <f t="shared" si="5"/>
        <v>0.68292682926829273</v>
      </c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>
        <v>0.98699999999999999</v>
      </c>
      <c r="AS25" s="77">
        <v>0.97399999999999998</v>
      </c>
      <c r="AT25" s="77">
        <f t="shared" si="17"/>
        <v>0.98682877406281655</v>
      </c>
      <c r="AU25" s="77">
        <v>14.19</v>
      </c>
      <c r="AV25" s="77">
        <v>44.55</v>
      </c>
      <c r="AW25" s="77">
        <f t="shared" si="13"/>
        <v>3.13953488372093</v>
      </c>
      <c r="AX25" s="77"/>
      <c r="AY25" s="77"/>
      <c r="AZ25" s="78"/>
      <c r="BA25" s="77"/>
      <c r="BB25" s="77"/>
      <c r="BC25" s="77"/>
      <c r="BD25" s="79">
        <v>45.113999999999997</v>
      </c>
      <c r="BE25" s="79">
        <v>132.87200000000001</v>
      </c>
      <c r="BF25" s="80">
        <f t="shared" si="4"/>
        <v>2.9452498115884209</v>
      </c>
    </row>
    <row r="26" spans="1:58" ht="18" x14ac:dyDescent="0.35">
      <c r="A26" s="76" t="s">
        <v>56</v>
      </c>
      <c r="B26" s="77"/>
      <c r="C26" s="77"/>
      <c r="D26" s="77"/>
      <c r="E26" s="77">
        <v>1.84</v>
      </c>
      <c r="F26" s="77">
        <v>12.98</v>
      </c>
      <c r="G26" s="77">
        <f t="shared" si="0"/>
        <v>7.0543478260869561</v>
      </c>
      <c r="H26" s="77">
        <v>73.777000000000001</v>
      </c>
      <c r="I26" s="77">
        <v>340.80399999999997</v>
      </c>
      <c r="J26" s="77">
        <f t="shared" si="1"/>
        <v>4.6193800235845854</v>
      </c>
      <c r="K26" s="77">
        <v>50.15</v>
      </c>
      <c r="L26" s="77">
        <v>294.56</v>
      </c>
      <c r="M26" s="77">
        <f t="shared" si="2"/>
        <v>5.8735792622133598</v>
      </c>
      <c r="N26" s="77">
        <v>0.189</v>
      </c>
      <c r="O26" s="77">
        <v>0.26500000000000001</v>
      </c>
      <c r="P26" s="77">
        <f t="shared" si="3"/>
        <v>1.4021164021164021</v>
      </c>
      <c r="Q26" s="77"/>
      <c r="R26" s="77"/>
      <c r="S26" s="77"/>
      <c r="T26" s="77">
        <v>1.22</v>
      </c>
      <c r="U26" s="77">
        <v>1.002</v>
      </c>
      <c r="V26" s="77">
        <f t="shared" si="5"/>
        <v>0.82131147540983607</v>
      </c>
      <c r="W26" s="77"/>
      <c r="X26" s="77"/>
      <c r="Y26" s="77"/>
      <c r="Z26" s="77"/>
      <c r="AA26" s="77"/>
      <c r="AB26" s="77"/>
      <c r="AC26" s="77"/>
      <c r="AD26" s="77"/>
      <c r="AE26" s="77"/>
      <c r="AF26" s="77">
        <v>1.083</v>
      </c>
      <c r="AG26" s="77">
        <v>0.85899999999999999</v>
      </c>
      <c r="AH26" s="77">
        <f t="shared" si="6"/>
        <v>0.79316712834718373</v>
      </c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>
        <v>2</v>
      </c>
      <c r="AV26" s="77">
        <v>12.494</v>
      </c>
      <c r="AW26" s="77">
        <f t="shared" si="13"/>
        <v>6.2469999999999999</v>
      </c>
      <c r="AX26" s="77"/>
      <c r="AY26" s="77"/>
      <c r="AZ26" s="78"/>
      <c r="BA26" s="77"/>
      <c r="BB26" s="77"/>
      <c r="BC26" s="77"/>
      <c r="BD26" s="79">
        <v>130.25899999999999</v>
      </c>
      <c r="BE26" s="79">
        <v>662.96400000000006</v>
      </c>
      <c r="BF26" s="80">
        <f t="shared" si="4"/>
        <v>5.089583061439134</v>
      </c>
    </row>
    <row r="27" spans="1:58" ht="18" x14ac:dyDescent="0.35">
      <c r="A27" s="76" t="s">
        <v>48</v>
      </c>
      <c r="B27" s="77">
        <v>0.28999999999999998</v>
      </c>
      <c r="C27" s="77">
        <v>0.3</v>
      </c>
      <c r="D27" s="77">
        <f t="shared" si="11"/>
        <v>1.0344827586206897</v>
      </c>
      <c r="E27" s="77">
        <v>1.8759999999999999</v>
      </c>
      <c r="F27" s="77">
        <v>15.74</v>
      </c>
      <c r="G27" s="77">
        <f t="shared" si="0"/>
        <v>8.3901918976545851</v>
      </c>
      <c r="H27" s="77">
        <v>2.7669999999999999</v>
      </c>
      <c r="I27" s="77">
        <v>6.3120000000000003</v>
      </c>
      <c r="J27" s="77">
        <f t="shared" si="1"/>
        <v>2.2811709432598484</v>
      </c>
      <c r="K27" s="77">
        <v>1.66</v>
      </c>
      <c r="L27" s="77">
        <v>10.08</v>
      </c>
      <c r="M27" s="77">
        <f t="shared" si="2"/>
        <v>6.072289156626506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8"/>
      <c r="BA27" s="77"/>
      <c r="BB27" s="77"/>
      <c r="BC27" s="77"/>
      <c r="BD27" s="79">
        <v>6.593</v>
      </c>
      <c r="BE27" s="79">
        <v>32.432000000000002</v>
      </c>
      <c r="BF27" s="80">
        <f t="shared" si="4"/>
        <v>4.9191566813286824</v>
      </c>
    </row>
    <row r="28" spans="1:58" ht="18" x14ac:dyDescent="0.35">
      <c r="A28" s="76" t="s">
        <v>49</v>
      </c>
      <c r="B28" s="77"/>
      <c r="C28" s="77"/>
      <c r="D28" s="77"/>
      <c r="E28" s="77">
        <v>0.877</v>
      </c>
      <c r="F28" s="77">
        <v>4.17</v>
      </c>
      <c r="G28" s="77">
        <f t="shared" si="0"/>
        <v>4.7548460661345491</v>
      </c>
      <c r="H28" s="77">
        <v>13.64</v>
      </c>
      <c r="I28" s="77">
        <v>12.58</v>
      </c>
      <c r="J28" s="77">
        <f t="shared" si="1"/>
        <v>0.92228739002932547</v>
      </c>
      <c r="K28" s="77">
        <v>2</v>
      </c>
      <c r="L28" s="77">
        <v>6</v>
      </c>
      <c r="M28" s="77">
        <f t="shared" si="2"/>
        <v>3</v>
      </c>
      <c r="N28" s="77">
        <v>35.22</v>
      </c>
      <c r="O28" s="77">
        <v>188.61</v>
      </c>
      <c r="P28" s="77">
        <f t="shared" si="3"/>
        <v>5.3551959114139702</v>
      </c>
      <c r="Q28" s="77"/>
      <c r="R28" s="77"/>
      <c r="S28" s="77"/>
      <c r="T28" s="77">
        <v>6.79</v>
      </c>
      <c r="U28" s="77">
        <v>3.54</v>
      </c>
      <c r="V28" s="77">
        <f t="shared" si="5"/>
        <v>0.52135493372606778</v>
      </c>
      <c r="W28" s="77">
        <v>2E-3</v>
      </c>
      <c r="X28" s="77">
        <v>5.0000000000000001E-3</v>
      </c>
      <c r="Y28" s="77">
        <f t="shared" si="9"/>
        <v>2.5</v>
      </c>
      <c r="Z28" s="77">
        <v>0.69399999999999995</v>
      </c>
      <c r="AA28" s="77">
        <v>0.76</v>
      </c>
      <c r="AB28" s="77">
        <f t="shared" si="7"/>
        <v>1.0951008645533142</v>
      </c>
      <c r="AC28" s="77">
        <v>0.32800000000000001</v>
      </c>
      <c r="AD28" s="77">
        <v>0.29299999999999998</v>
      </c>
      <c r="AE28" s="77">
        <f t="shared" si="8"/>
        <v>0.89329268292682917</v>
      </c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8"/>
      <c r="BA28" s="77">
        <v>327.35700000000003</v>
      </c>
      <c r="BB28" s="77">
        <v>32.735999999999997</v>
      </c>
      <c r="BC28" s="77">
        <f>BB28/BA28</f>
        <v>0.10000091643068575</v>
      </c>
      <c r="BD28" s="79">
        <v>386.90800000000002</v>
      </c>
      <c r="BE28" s="79">
        <v>248.69399999999999</v>
      </c>
      <c r="BF28" s="80">
        <f t="shared" si="4"/>
        <v>0.64277295894631281</v>
      </c>
    </row>
    <row r="29" spans="1:58" ht="18" x14ac:dyDescent="0.35">
      <c r="A29" s="76" t="s">
        <v>50</v>
      </c>
      <c r="B29" s="77"/>
      <c r="C29" s="77"/>
      <c r="D29" s="77"/>
      <c r="E29" s="77">
        <v>2.3250000000000002</v>
      </c>
      <c r="F29" s="77">
        <v>25.71</v>
      </c>
      <c r="G29" s="77">
        <f t="shared" si="0"/>
        <v>11.058064516129031</v>
      </c>
      <c r="H29" s="77">
        <v>9</v>
      </c>
      <c r="I29" s="77">
        <v>7.2</v>
      </c>
      <c r="J29" s="77">
        <f t="shared" si="1"/>
        <v>0.8</v>
      </c>
      <c r="K29" s="77">
        <v>1.58</v>
      </c>
      <c r="L29" s="77">
        <v>2.79</v>
      </c>
      <c r="M29" s="77">
        <f t="shared" si="2"/>
        <v>1.7658227848101264</v>
      </c>
      <c r="N29" s="77">
        <v>1.49</v>
      </c>
      <c r="O29" s="77">
        <v>2.1669999999999998</v>
      </c>
      <c r="P29" s="77">
        <f t="shared" si="3"/>
        <v>1.4543624161073825</v>
      </c>
      <c r="Q29" s="77"/>
      <c r="R29" s="77"/>
      <c r="S29" s="77"/>
      <c r="T29" s="77">
        <v>0.90400000000000003</v>
      </c>
      <c r="U29" s="77">
        <v>3.8</v>
      </c>
      <c r="V29" s="77">
        <f t="shared" si="5"/>
        <v>4.2035398230088497</v>
      </c>
      <c r="W29" s="77"/>
      <c r="X29" s="77"/>
      <c r="Y29" s="77"/>
      <c r="Z29" s="77"/>
      <c r="AA29" s="77"/>
      <c r="AB29" s="77"/>
      <c r="AC29" s="77">
        <v>0.4</v>
      </c>
      <c r="AD29" s="77">
        <v>2.61</v>
      </c>
      <c r="AE29" s="77">
        <f t="shared" si="8"/>
        <v>6.5249999999999995</v>
      </c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8"/>
      <c r="BA29" s="77"/>
      <c r="BB29" s="77"/>
      <c r="BC29" s="77"/>
      <c r="BD29" s="79">
        <v>15.699</v>
      </c>
      <c r="BE29" s="79">
        <v>44.277000000000001</v>
      </c>
      <c r="BF29" s="80">
        <f t="shared" si="4"/>
        <v>2.8203707242499525</v>
      </c>
    </row>
    <row r="30" spans="1:58" ht="18" x14ac:dyDescent="0.35">
      <c r="A30" s="76" t="s">
        <v>51</v>
      </c>
      <c r="B30" s="77">
        <v>0.27</v>
      </c>
      <c r="C30" s="77">
        <v>7.0000000000000007E-2</v>
      </c>
      <c r="D30" s="77">
        <f t="shared" si="11"/>
        <v>0.25925925925925924</v>
      </c>
      <c r="E30" s="77">
        <v>12.25</v>
      </c>
      <c r="F30" s="77">
        <v>133.75</v>
      </c>
      <c r="G30" s="77">
        <f t="shared" si="0"/>
        <v>10.918367346938776</v>
      </c>
      <c r="H30" s="77">
        <v>65.123000000000005</v>
      </c>
      <c r="I30" s="77">
        <v>100.33799999999999</v>
      </c>
      <c r="J30" s="77">
        <f t="shared" si="1"/>
        <v>1.5407459730049289</v>
      </c>
      <c r="K30" s="77">
        <v>17.45</v>
      </c>
      <c r="L30" s="77">
        <v>44.7</v>
      </c>
      <c r="M30" s="77">
        <f t="shared" si="2"/>
        <v>2.5616045845272208</v>
      </c>
      <c r="N30" s="77">
        <v>3.7</v>
      </c>
      <c r="O30" s="77">
        <v>36.1</v>
      </c>
      <c r="P30" s="77">
        <f t="shared" si="3"/>
        <v>9.7567567567567561</v>
      </c>
      <c r="Q30" s="77">
        <v>2.9550000000000001</v>
      </c>
      <c r="R30" s="77">
        <v>0.76</v>
      </c>
      <c r="S30" s="77">
        <f t="shared" si="14"/>
        <v>0.25719120135363788</v>
      </c>
      <c r="T30" s="77">
        <v>11.46</v>
      </c>
      <c r="U30" s="77">
        <v>14.555</v>
      </c>
      <c r="V30" s="77">
        <f t="shared" si="5"/>
        <v>1.2700698080279231</v>
      </c>
      <c r="W30" s="77">
        <v>1.47</v>
      </c>
      <c r="X30" s="77">
        <v>1.456</v>
      </c>
      <c r="Y30" s="77">
        <f t="shared" si="9"/>
        <v>0.99047619047619051</v>
      </c>
      <c r="Z30" s="77">
        <v>1.0149999999999999</v>
      </c>
      <c r="AA30" s="77">
        <v>1.02</v>
      </c>
      <c r="AB30" s="77">
        <f t="shared" si="7"/>
        <v>1.0049261083743843</v>
      </c>
      <c r="AC30" s="77">
        <v>2.41</v>
      </c>
      <c r="AD30" s="77">
        <v>2.6</v>
      </c>
      <c r="AE30" s="77">
        <f t="shared" si="8"/>
        <v>1.0788381742738589</v>
      </c>
      <c r="AF30" s="77"/>
      <c r="AG30" s="77"/>
      <c r="AH30" s="77"/>
      <c r="AI30" s="77">
        <v>1.2509999999999999</v>
      </c>
      <c r="AJ30" s="77">
        <v>1.601</v>
      </c>
      <c r="AK30" s="77">
        <f t="shared" si="12"/>
        <v>1.2797761790567548</v>
      </c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8"/>
      <c r="BA30" s="77"/>
      <c r="BB30" s="77"/>
      <c r="BC30" s="77"/>
      <c r="BD30" s="79">
        <v>119.354</v>
      </c>
      <c r="BE30" s="79">
        <v>336.95000000000005</v>
      </c>
      <c r="BF30" s="80">
        <f t="shared" si="4"/>
        <v>2.823114432696014</v>
      </c>
    </row>
    <row r="31" spans="1:58" ht="18" x14ac:dyDescent="0.35">
      <c r="A31" s="76" t="s">
        <v>75</v>
      </c>
      <c r="B31" s="77">
        <v>1.2000000000000002</v>
      </c>
      <c r="C31" s="77">
        <v>0.4</v>
      </c>
      <c r="D31" s="77">
        <f t="shared" si="11"/>
        <v>0.33333333333333331</v>
      </c>
      <c r="E31" s="77">
        <v>0.16</v>
      </c>
      <c r="F31" s="77">
        <v>1.9</v>
      </c>
      <c r="G31" s="77">
        <f t="shared" si="0"/>
        <v>11.875</v>
      </c>
      <c r="H31" s="77">
        <v>7.0000000000000007E-2</v>
      </c>
      <c r="I31" s="77">
        <v>0.32999999999999996</v>
      </c>
      <c r="J31" s="77">
        <f t="shared" si="1"/>
        <v>4.7142857142857135</v>
      </c>
      <c r="K31" s="77">
        <v>0.13</v>
      </c>
      <c r="L31" s="77">
        <v>0.22999999999999998</v>
      </c>
      <c r="M31" s="77">
        <f t="shared" si="2"/>
        <v>1.7692307692307689</v>
      </c>
      <c r="N31" s="77">
        <v>0</v>
      </c>
      <c r="O31" s="77">
        <v>0</v>
      </c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>
        <v>0.1</v>
      </c>
      <c r="AM31" s="77">
        <v>0.05</v>
      </c>
      <c r="AN31" s="77">
        <f t="shared" si="15"/>
        <v>0.5</v>
      </c>
      <c r="AO31" s="77">
        <v>0.27600000000000002</v>
      </c>
      <c r="AP31" s="77">
        <v>0.106</v>
      </c>
      <c r="AQ31" s="77">
        <f t="shared" si="16"/>
        <v>0.38405797101449274</v>
      </c>
      <c r="AR31" s="77">
        <v>0.05</v>
      </c>
      <c r="AS31" s="77">
        <v>5.0000000000000001E-3</v>
      </c>
      <c r="AT31" s="77">
        <f t="shared" si="17"/>
        <v>9.9999999999999992E-2</v>
      </c>
      <c r="AU31" s="77">
        <v>5.8999999999999997E-2</v>
      </c>
      <c r="AV31" s="77">
        <v>0.25900000000000001</v>
      </c>
      <c r="AW31" s="77">
        <f t="shared" si="13"/>
        <v>4.389830508474577</v>
      </c>
      <c r="AX31" s="77"/>
      <c r="AY31" s="77"/>
      <c r="AZ31" s="78"/>
      <c r="BA31" s="77"/>
      <c r="BB31" s="77"/>
      <c r="BC31" s="77"/>
      <c r="BD31" s="79">
        <v>2.0450000000000004</v>
      </c>
      <c r="BE31" s="79">
        <v>3.2799999999999994</v>
      </c>
      <c r="BF31" s="80">
        <f t="shared" si="4"/>
        <v>1.6039119804400972</v>
      </c>
    </row>
    <row r="32" spans="1:58" ht="17.399999999999999" x14ac:dyDescent="0.3">
      <c r="A32" s="76" t="s">
        <v>52</v>
      </c>
      <c r="B32" s="128">
        <v>134.29</v>
      </c>
      <c r="C32" s="183">
        <v>66.260099999999994</v>
      </c>
      <c r="D32" s="79">
        <f t="shared" si="11"/>
        <v>0.49341052945118774</v>
      </c>
      <c r="E32" s="128">
        <v>165.27500000000001</v>
      </c>
      <c r="F32" s="117">
        <v>1761.57</v>
      </c>
      <c r="G32" s="136">
        <f t="shared" si="0"/>
        <v>10.65841778853426</v>
      </c>
      <c r="H32" s="128">
        <v>751.60600000000022</v>
      </c>
      <c r="I32" s="117">
        <v>2149.2249999999999</v>
      </c>
      <c r="J32" s="79">
        <f t="shared" si="1"/>
        <v>2.8595101688916791</v>
      </c>
      <c r="K32" s="128">
        <v>231.41799999999998</v>
      </c>
      <c r="L32" s="117">
        <v>862.75000000000011</v>
      </c>
      <c r="M32" s="136">
        <f t="shared" si="2"/>
        <v>3.728102394800751</v>
      </c>
      <c r="N32" s="128">
        <v>316.98100000000005</v>
      </c>
      <c r="O32" s="117">
        <v>1610.62</v>
      </c>
      <c r="P32" s="136">
        <f t="shared" si="3"/>
        <v>5.0811247361829244</v>
      </c>
      <c r="Q32" s="193">
        <v>84.201999999999984</v>
      </c>
      <c r="R32" s="203">
        <v>28.238000000000007</v>
      </c>
      <c r="S32" s="79">
        <f t="shared" si="14"/>
        <v>0.33536020522077875</v>
      </c>
      <c r="T32" s="128">
        <v>532.322</v>
      </c>
      <c r="U32" s="117">
        <v>709.8349999999997</v>
      </c>
      <c r="V32" s="79">
        <f t="shared" si="5"/>
        <v>1.333469216000841</v>
      </c>
      <c r="W32" s="128">
        <v>966.14</v>
      </c>
      <c r="X32" s="117">
        <v>688.66100000000006</v>
      </c>
      <c r="Y32" s="79">
        <f t="shared" si="9"/>
        <v>0.71279628211232338</v>
      </c>
      <c r="Z32" s="193">
        <v>65.977000000000004</v>
      </c>
      <c r="AA32" s="183">
        <v>103.89</v>
      </c>
      <c r="AB32" s="79">
        <f t="shared" si="7"/>
        <v>1.5746396471497641</v>
      </c>
      <c r="AC32" s="193">
        <v>148.99199999999999</v>
      </c>
      <c r="AD32" s="183">
        <v>202.44400000000002</v>
      </c>
      <c r="AE32" s="79">
        <f t="shared" si="8"/>
        <v>1.3587575171821309</v>
      </c>
      <c r="AF32" s="193">
        <v>34.763999999999996</v>
      </c>
      <c r="AG32" s="183">
        <v>24.044000000000004</v>
      </c>
      <c r="AH32" s="79">
        <f t="shared" si="6"/>
        <v>0.69163502473823513</v>
      </c>
      <c r="AI32" s="213">
        <v>35.913999999999994</v>
      </c>
      <c r="AJ32" s="183">
        <v>34.037999999999997</v>
      </c>
      <c r="AK32" s="79">
        <f t="shared" si="12"/>
        <v>0.9477641031352676</v>
      </c>
      <c r="AL32" s="213">
        <f>SUM(AL13:AL31)</f>
        <v>2.7029999999999998</v>
      </c>
      <c r="AM32" s="203">
        <v>5.085</v>
      </c>
      <c r="AN32" s="136">
        <f>AM32/AL32</f>
        <v>1.8812430632630412</v>
      </c>
      <c r="AO32" s="213">
        <v>23.376000000000001</v>
      </c>
      <c r="AP32" s="203">
        <v>15.105999999999998</v>
      </c>
      <c r="AQ32" s="79">
        <f t="shared" si="16"/>
        <v>0.64621834360027364</v>
      </c>
      <c r="AR32" s="213">
        <v>2.1789999999999998</v>
      </c>
      <c r="AS32" s="203">
        <v>1.2189999999999999</v>
      </c>
      <c r="AT32" s="79">
        <f t="shared" si="17"/>
        <v>0.55943093162000912</v>
      </c>
      <c r="AU32" s="193">
        <v>48.419999999999995</v>
      </c>
      <c r="AV32" s="117">
        <v>201.26600000000002</v>
      </c>
      <c r="AW32" s="136">
        <f t="shared" si="13"/>
        <v>4.1566707971912438</v>
      </c>
      <c r="AX32" s="213">
        <v>4.5640000000000001</v>
      </c>
      <c r="AY32" s="203">
        <v>0.32</v>
      </c>
      <c r="AZ32" s="84">
        <f t="shared" si="10"/>
        <v>7.0113935144609993E-2</v>
      </c>
      <c r="BA32" s="213">
        <v>327.35700000000003</v>
      </c>
      <c r="BB32" s="203">
        <v>32.735999999999997</v>
      </c>
      <c r="BC32" s="79">
        <f>BB32/BA32</f>
        <v>0.10000091643068575</v>
      </c>
      <c r="BD32" s="79">
        <v>3876.48</v>
      </c>
      <c r="BE32" s="79">
        <v>8497.3071</v>
      </c>
      <c r="BF32" s="80">
        <f t="shared" si="4"/>
        <v>2.1920162363793958</v>
      </c>
    </row>
  </sheetData>
  <mergeCells count="19">
    <mergeCell ref="BD1:BE1"/>
    <mergeCell ref="AL1:AM1"/>
    <mergeCell ref="AO1:AP1"/>
    <mergeCell ref="AR1:AS1"/>
    <mergeCell ref="AU1:AV1"/>
    <mergeCell ref="AX1:AY1"/>
    <mergeCell ref="BA1:BB1"/>
    <mergeCell ref="AI1:AJ1"/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2E10-2A15-49C9-98EF-291BE8B9D2B2}">
  <dimension ref="A1:BI34"/>
  <sheetViews>
    <sheetView topLeftCell="AI19" workbookViewId="0">
      <selection activeCell="BD32" sqref="BD32"/>
    </sheetView>
  </sheetViews>
  <sheetFormatPr defaultRowHeight="14.4" x14ac:dyDescent="0.3"/>
  <cols>
    <col min="1" max="1" width="31.109375" bestFit="1" customWidth="1"/>
    <col min="6" max="6" width="9.6640625" bestFit="1" customWidth="1"/>
    <col min="9" max="9" width="9.6640625" bestFit="1" customWidth="1"/>
    <col min="15" max="15" width="9.6640625" bestFit="1" customWidth="1"/>
    <col min="19" max="19" width="11.88671875" bestFit="1" customWidth="1"/>
    <col min="23" max="23" width="9.6640625" bestFit="1" customWidth="1"/>
    <col min="59" max="60" width="9.6640625" bestFit="1" customWidth="1"/>
  </cols>
  <sheetData>
    <row r="1" spans="1:61" ht="17.399999999999999" x14ac:dyDescent="0.3">
      <c r="A1" s="85" t="s">
        <v>54</v>
      </c>
      <c r="B1" s="249" t="s">
        <v>58</v>
      </c>
      <c r="C1" s="249"/>
      <c r="D1" s="85"/>
      <c r="E1" s="249" t="s">
        <v>59</v>
      </c>
      <c r="F1" s="249"/>
      <c r="G1" s="85"/>
      <c r="H1" s="249" t="s">
        <v>60</v>
      </c>
      <c r="I1" s="249"/>
      <c r="J1" s="85"/>
      <c r="K1" s="249" t="s">
        <v>61</v>
      </c>
      <c r="L1" s="249"/>
      <c r="M1" s="85"/>
      <c r="N1" s="249" t="s">
        <v>62</v>
      </c>
      <c r="O1" s="249"/>
      <c r="P1" s="85"/>
      <c r="Q1" s="249" t="s">
        <v>63</v>
      </c>
      <c r="R1" s="249"/>
      <c r="S1" s="85"/>
      <c r="T1" s="249" t="s">
        <v>64</v>
      </c>
      <c r="U1" s="249"/>
      <c r="V1" s="85"/>
      <c r="W1" s="249" t="s">
        <v>65</v>
      </c>
      <c r="X1" s="249"/>
      <c r="Y1" s="85"/>
      <c r="Z1" s="249" t="s">
        <v>66</v>
      </c>
      <c r="AA1" s="249"/>
      <c r="AB1" s="85"/>
      <c r="AC1" s="249" t="s">
        <v>67</v>
      </c>
      <c r="AD1" s="249"/>
      <c r="AE1" s="85"/>
      <c r="AF1" s="249" t="s">
        <v>68</v>
      </c>
      <c r="AG1" s="249"/>
      <c r="AH1" s="85"/>
      <c r="AI1" s="248" t="s">
        <v>77</v>
      </c>
      <c r="AJ1" s="248"/>
      <c r="AK1" s="86"/>
      <c r="AL1" s="248" t="s">
        <v>70</v>
      </c>
      <c r="AM1" s="248"/>
      <c r="AN1" s="86"/>
      <c r="AO1" s="249" t="s">
        <v>71</v>
      </c>
      <c r="AP1" s="249"/>
      <c r="AQ1" s="85"/>
      <c r="AR1" s="249" t="s">
        <v>72</v>
      </c>
      <c r="AS1" s="249"/>
      <c r="AT1" s="85"/>
      <c r="AU1" s="249" t="s">
        <v>73</v>
      </c>
      <c r="AV1" s="249"/>
      <c r="AW1" s="87"/>
      <c r="AX1" s="250" t="s">
        <v>78</v>
      </c>
      <c r="AY1" s="251"/>
      <c r="AZ1" s="89"/>
      <c r="BA1" s="250" t="s">
        <v>79</v>
      </c>
      <c r="BB1" s="251"/>
      <c r="BC1" s="89"/>
      <c r="BD1" s="250" t="s">
        <v>80</v>
      </c>
      <c r="BE1" s="251"/>
      <c r="BF1" s="88"/>
      <c r="BG1" s="252" t="s">
        <v>52</v>
      </c>
      <c r="BH1" s="252"/>
      <c r="BI1" s="9"/>
    </row>
    <row r="2" spans="1:61" ht="17.399999999999999" x14ac:dyDescent="0.3">
      <c r="A2" s="85"/>
      <c r="B2" s="85" t="s">
        <v>19</v>
      </c>
      <c r="C2" s="85" t="s">
        <v>20</v>
      </c>
      <c r="D2" s="85" t="s">
        <v>21</v>
      </c>
      <c r="E2" s="85" t="s">
        <v>19</v>
      </c>
      <c r="F2" s="85" t="s">
        <v>20</v>
      </c>
      <c r="G2" s="85" t="s">
        <v>21</v>
      </c>
      <c r="H2" s="85" t="s">
        <v>19</v>
      </c>
      <c r="I2" s="85" t="s">
        <v>20</v>
      </c>
      <c r="J2" s="85" t="s">
        <v>21</v>
      </c>
      <c r="K2" s="85" t="s">
        <v>19</v>
      </c>
      <c r="L2" s="85" t="s">
        <v>20</v>
      </c>
      <c r="M2" s="85" t="s">
        <v>21</v>
      </c>
      <c r="N2" s="85" t="s">
        <v>19</v>
      </c>
      <c r="O2" s="85" t="s">
        <v>20</v>
      </c>
      <c r="P2" s="85" t="s">
        <v>21</v>
      </c>
      <c r="Q2" s="85" t="s">
        <v>19</v>
      </c>
      <c r="R2" s="85" t="s">
        <v>20</v>
      </c>
      <c r="S2" s="85" t="s">
        <v>21</v>
      </c>
      <c r="T2" s="85" t="s">
        <v>19</v>
      </c>
      <c r="U2" s="85" t="s">
        <v>20</v>
      </c>
      <c r="V2" s="85" t="s">
        <v>21</v>
      </c>
      <c r="W2" s="85" t="s">
        <v>19</v>
      </c>
      <c r="X2" s="85" t="s">
        <v>20</v>
      </c>
      <c r="Y2" s="85" t="s">
        <v>21</v>
      </c>
      <c r="Z2" s="85" t="s">
        <v>19</v>
      </c>
      <c r="AA2" s="85" t="s">
        <v>20</v>
      </c>
      <c r="AB2" s="85" t="s">
        <v>21</v>
      </c>
      <c r="AC2" s="85" t="s">
        <v>19</v>
      </c>
      <c r="AD2" s="85" t="s">
        <v>20</v>
      </c>
      <c r="AE2" s="85" t="s">
        <v>21</v>
      </c>
      <c r="AF2" s="85" t="s">
        <v>19</v>
      </c>
      <c r="AG2" s="85" t="s">
        <v>20</v>
      </c>
      <c r="AH2" s="85" t="s">
        <v>21</v>
      </c>
      <c r="AI2" s="85" t="s">
        <v>19</v>
      </c>
      <c r="AJ2" s="85" t="s">
        <v>20</v>
      </c>
      <c r="AK2" s="85" t="s">
        <v>21</v>
      </c>
      <c r="AL2" s="85" t="s">
        <v>19</v>
      </c>
      <c r="AM2" s="85" t="s">
        <v>20</v>
      </c>
      <c r="AN2" s="85" t="s">
        <v>21</v>
      </c>
      <c r="AO2" s="85" t="s">
        <v>19</v>
      </c>
      <c r="AP2" s="85" t="s">
        <v>20</v>
      </c>
      <c r="AQ2" s="85" t="s">
        <v>21</v>
      </c>
      <c r="AR2" s="85" t="s">
        <v>19</v>
      </c>
      <c r="AS2" s="85" t="s">
        <v>20</v>
      </c>
      <c r="AT2" s="85" t="s">
        <v>21</v>
      </c>
      <c r="AU2" s="85" t="s">
        <v>19</v>
      </c>
      <c r="AV2" s="85" t="s">
        <v>20</v>
      </c>
      <c r="AW2" s="85" t="s">
        <v>21</v>
      </c>
      <c r="AX2" s="90" t="s">
        <v>19</v>
      </c>
      <c r="AY2" s="90" t="s">
        <v>20</v>
      </c>
      <c r="AZ2" s="90" t="s">
        <v>21</v>
      </c>
      <c r="BA2" s="90" t="s">
        <v>19</v>
      </c>
      <c r="BB2" s="90" t="s">
        <v>20</v>
      </c>
      <c r="BC2" s="90" t="s">
        <v>21</v>
      </c>
      <c r="BD2" s="90" t="s">
        <v>19</v>
      </c>
      <c r="BE2" s="90" t="s">
        <v>20</v>
      </c>
      <c r="BF2" s="90" t="s">
        <v>21</v>
      </c>
      <c r="BG2" s="90" t="s">
        <v>19</v>
      </c>
      <c r="BH2" s="90" t="s">
        <v>20</v>
      </c>
      <c r="BI2" s="90" t="s">
        <v>21</v>
      </c>
    </row>
    <row r="3" spans="1:61" ht="18" x14ac:dyDescent="0.35">
      <c r="A3" s="91" t="s">
        <v>23</v>
      </c>
      <c r="B3" s="92"/>
      <c r="C3" s="92"/>
      <c r="D3" s="92"/>
      <c r="E3" s="93">
        <v>0.29599999999999999</v>
      </c>
      <c r="F3" s="93">
        <v>2.492</v>
      </c>
      <c r="G3" s="93">
        <f>F3/E3</f>
        <v>8.4189189189189193</v>
      </c>
      <c r="H3" s="93">
        <v>159</v>
      </c>
      <c r="I3" s="93">
        <v>630</v>
      </c>
      <c r="J3" s="93">
        <f>I3/H3</f>
        <v>3.9622641509433962</v>
      </c>
      <c r="K3" s="93">
        <v>20.359000000000002</v>
      </c>
      <c r="L3" s="93">
        <v>85.5</v>
      </c>
      <c r="M3" s="93">
        <f>L3/K3</f>
        <v>4.1996168770568296</v>
      </c>
      <c r="N3" s="93"/>
      <c r="O3" s="93"/>
      <c r="P3" s="93"/>
      <c r="Q3" s="92"/>
      <c r="R3" s="92"/>
      <c r="S3" s="92"/>
      <c r="T3" s="93">
        <v>2.5840000000000001</v>
      </c>
      <c r="U3" s="93">
        <v>1.64</v>
      </c>
      <c r="V3" s="93">
        <f>U3/T3</f>
        <v>0.63467492260061908</v>
      </c>
      <c r="W3" s="92"/>
      <c r="X3" s="92"/>
      <c r="Y3" s="92"/>
      <c r="Z3" s="92"/>
      <c r="AA3" s="92"/>
      <c r="AB3" s="92"/>
      <c r="AC3" s="92"/>
      <c r="AD3" s="92"/>
      <c r="AE3" s="92"/>
      <c r="AF3" s="93">
        <v>12.282</v>
      </c>
      <c r="AG3" s="93">
        <v>3.92</v>
      </c>
      <c r="AH3" s="93">
        <f>AG3/AF3</f>
        <v>0.3191662595668458</v>
      </c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>
        <v>4.42</v>
      </c>
      <c r="AV3" s="92">
        <v>19.02</v>
      </c>
      <c r="AW3" s="92">
        <f>AV3/AU3</f>
        <v>4.3031674208144794</v>
      </c>
      <c r="AX3" s="92"/>
      <c r="AY3" s="92"/>
      <c r="AZ3" s="92"/>
      <c r="BA3" s="92">
        <v>0.11</v>
      </c>
      <c r="BB3" s="92">
        <v>0.04</v>
      </c>
      <c r="BC3" s="92">
        <f>BB3/BA3</f>
        <v>0.36363636363636365</v>
      </c>
      <c r="BD3" s="92"/>
      <c r="BE3" s="92"/>
      <c r="BF3" s="92"/>
      <c r="BG3" s="94">
        <v>199.05099999999999</v>
      </c>
      <c r="BH3" s="94">
        <v>742.61199999999985</v>
      </c>
      <c r="BI3" s="80">
        <f>BH3/BG3</f>
        <v>3.7307624679102336</v>
      </c>
    </row>
    <row r="4" spans="1:61" ht="18" x14ac:dyDescent="0.35">
      <c r="A4" s="95" t="s">
        <v>24</v>
      </c>
      <c r="B4" s="92"/>
      <c r="C4" s="92"/>
      <c r="D4" s="92"/>
      <c r="E4" s="93">
        <v>4.0010000000000003</v>
      </c>
      <c r="F4" s="93">
        <v>23.77</v>
      </c>
      <c r="G4" s="93">
        <f t="shared" ref="G4:G32" si="0">F4/E4</f>
        <v>5.9410147463134209</v>
      </c>
      <c r="H4" s="93">
        <v>0.16500000000000001</v>
      </c>
      <c r="I4" s="93">
        <v>0.85</v>
      </c>
      <c r="J4" s="93">
        <f t="shared" ref="J4:J32" si="1">I4/H4</f>
        <v>5.1515151515151514</v>
      </c>
      <c r="K4" s="93">
        <v>0.52100000000000002</v>
      </c>
      <c r="L4" s="93">
        <v>2.98</v>
      </c>
      <c r="M4" s="93">
        <f t="shared" ref="M4:M32" si="2">L4/K4</f>
        <v>5.7197696737044144</v>
      </c>
      <c r="N4" s="93"/>
      <c r="O4" s="93"/>
      <c r="P4" s="93"/>
      <c r="Q4" s="92">
        <v>7.41</v>
      </c>
      <c r="R4" s="92">
        <v>1.87</v>
      </c>
      <c r="S4" s="92">
        <f>R4/Q4</f>
        <v>0.25236167341430499</v>
      </c>
      <c r="T4" s="93"/>
      <c r="U4" s="93"/>
      <c r="V4" s="93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3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4">
        <v>12.097000000000001</v>
      </c>
      <c r="BH4" s="94">
        <v>29.470000000000002</v>
      </c>
      <c r="BI4" s="80">
        <f t="shared" ref="BI4:BI32" si="3">BH4/BG4</f>
        <v>2.4361411920310818</v>
      </c>
    </row>
    <row r="5" spans="1:61" ht="18" x14ac:dyDescent="0.35">
      <c r="A5" s="91" t="s">
        <v>25</v>
      </c>
      <c r="B5" s="92">
        <v>3.39</v>
      </c>
      <c r="C5" s="92">
        <v>2.4700000000000002</v>
      </c>
      <c r="D5" s="92">
        <f>C5/B5</f>
        <v>0.72861356932153398</v>
      </c>
      <c r="E5" s="93">
        <v>17.864999999999998</v>
      </c>
      <c r="F5" s="93">
        <v>166.27</v>
      </c>
      <c r="G5" s="93">
        <f t="shared" si="0"/>
        <v>9.3070249090400239</v>
      </c>
      <c r="H5" s="93">
        <v>19.847000000000001</v>
      </c>
      <c r="I5" s="93">
        <v>18.98</v>
      </c>
      <c r="J5" s="93">
        <f t="shared" si="1"/>
        <v>0.95631581599234139</v>
      </c>
      <c r="K5" s="93">
        <v>15.896000000000001</v>
      </c>
      <c r="L5" s="93">
        <v>19.399999999999999</v>
      </c>
      <c r="M5" s="93">
        <f t="shared" si="2"/>
        <v>1.2204328132863611</v>
      </c>
      <c r="N5" s="93">
        <v>10.45</v>
      </c>
      <c r="O5" s="93">
        <v>62.33</v>
      </c>
      <c r="P5" s="93">
        <f>O5/N5</f>
        <v>5.9645933014354071</v>
      </c>
      <c r="Q5" s="92"/>
      <c r="R5" s="92"/>
      <c r="S5" s="92"/>
      <c r="T5" s="93">
        <v>29.748999999999999</v>
      </c>
      <c r="U5" s="93">
        <v>30.79</v>
      </c>
      <c r="V5" s="93">
        <f t="shared" ref="V5:V32" si="4">U5/T5</f>
        <v>1.0349927728663149</v>
      </c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3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4">
        <v>97.197000000000003</v>
      </c>
      <c r="BH5" s="94">
        <v>300.24</v>
      </c>
      <c r="BI5" s="80">
        <f t="shared" si="3"/>
        <v>3.0889842279082687</v>
      </c>
    </row>
    <row r="6" spans="1:61" ht="18" x14ac:dyDescent="0.35">
      <c r="A6" s="91" t="s">
        <v>26</v>
      </c>
      <c r="B6" s="92"/>
      <c r="C6" s="92"/>
      <c r="D6" s="92"/>
      <c r="E6" s="93">
        <v>0.45200000000000001</v>
      </c>
      <c r="F6" s="93">
        <v>3.8969999999999998</v>
      </c>
      <c r="G6" s="93">
        <f t="shared" si="0"/>
        <v>8.6216814159292028</v>
      </c>
      <c r="H6" s="93">
        <v>1.5249999999999999</v>
      </c>
      <c r="I6" s="93">
        <v>2.79</v>
      </c>
      <c r="J6" s="93">
        <f t="shared" si="1"/>
        <v>1.8295081967213116</v>
      </c>
      <c r="K6" s="93">
        <v>2.9809999999999999</v>
      </c>
      <c r="L6" s="93">
        <v>2.83</v>
      </c>
      <c r="M6" s="93">
        <f t="shared" si="2"/>
        <v>0.94934585709493469</v>
      </c>
      <c r="N6" s="93">
        <v>1.78</v>
      </c>
      <c r="O6" s="93">
        <v>2.68</v>
      </c>
      <c r="P6" s="93">
        <f t="shared" ref="P6:P32" si="5">O6/N6</f>
        <v>1.50561797752809</v>
      </c>
      <c r="Q6" s="92"/>
      <c r="R6" s="92"/>
      <c r="S6" s="92"/>
      <c r="T6" s="93">
        <v>2.5390000000000001</v>
      </c>
      <c r="U6" s="93">
        <v>2.2999999999999998</v>
      </c>
      <c r="V6" s="93">
        <f t="shared" si="4"/>
        <v>0.90586845214651424</v>
      </c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3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4">
        <v>9.277000000000001</v>
      </c>
      <c r="BH6" s="94">
        <v>14.497</v>
      </c>
      <c r="BI6" s="80">
        <f t="shared" si="3"/>
        <v>1.5626819014767703</v>
      </c>
    </row>
    <row r="7" spans="1:61" ht="18" x14ac:dyDescent="0.35">
      <c r="A7" s="91" t="s">
        <v>53</v>
      </c>
      <c r="B7" s="92"/>
      <c r="C7" s="92"/>
      <c r="D7" s="92"/>
      <c r="E7" s="93">
        <v>1.972</v>
      </c>
      <c r="F7" s="93">
        <v>11.393000000000001</v>
      </c>
      <c r="G7" s="93">
        <f t="shared" si="0"/>
        <v>5.7773833671399597</v>
      </c>
      <c r="H7" s="93">
        <v>4.2850000000000001</v>
      </c>
      <c r="I7" s="93">
        <v>1.528</v>
      </c>
      <c r="J7" s="93">
        <f t="shared" si="1"/>
        <v>0.35659276546091012</v>
      </c>
      <c r="K7" s="93">
        <v>1.1759999999999999</v>
      </c>
      <c r="L7" s="93">
        <v>1.002</v>
      </c>
      <c r="M7" s="93">
        <f t="shared" si="2"/>
        <v>0.85204081632653061</v>
      </c>
      <c r="N7" s="93">
        <v>1.2430000000000001</v>
      </c>
      <c r="O7" s="93">
        <v>3.5190000000000001</v>
      </c>
      <c r="P7" s="93">
        <f t="shared" si="5"/>
        <v>2.8310539018503618</v>
      </c>
      <c r="Q7" s="92"/>
      <c r="R7" s="92"/>
      <c r="S7" s="92"/>
      <c r="T7" s="93">
        <v>2.9039999999999999</v>
      </c>
      <c r="U7" s="93">
        <v>0.80500000000000005</v>
      </c>
      <c r="V7" s="93">
        <f t="shared" si="4"/>
        <v>0.27720385674931131</v>
      </c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3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4">
        <v>11.58</v>
      </c>
      <c r="BH7" s="94">
        <v>18.247</v>
      </c>
      <c r="BI7" s="80">
        <f t="shared" si="3"/>
        <v>1.5757340241796201</v>
      </c>
    </row>
    <row r="8" spans="1:61" ht="18" x14ac:dyDescent="0.35">
      <c r="A8" s="91" t="s">
        <v>29</v>
      </c>
      <c r="B8" s="92"/>
      <c r="C8" s="92"/>
      <c r="D8" s="92"/>
      <c r="E8" s="93">
        <v>5.0369999999999999</v>
      </c>
      <c r="F8" s="93">
        <v>110.4</v>
      </c>
      <c r="G8" s="93">
        <f t="shared" si="0"/>
        <v>21.917808219178085</v>
      </c>
      <c r="H8" s="93">
        <v>11.335000000000001</v>
      </c>
      <c r="I8" s="93">
        <v>21.44</v>
      </c>
      <c r="J8" s="93">
        <f t="shared" si="1"/>
        <v>1.8914865460961623</v>
      </c>
      <c r="K8" s="93">
        <v>4.4249999999999998</v>
      </c>
      <c r="L8" s="93">
        <v>17.39</v>
      </c>
      <c r="M8" s="93">
        <f t="shared" si="2"/>
        <v>3.9299435028248588</v>
      </c>
      <c r="N8" s="93">
        <v>10.752000000000001</v>
      </c>
      <c r="O8" s="93">
        <v>82.99</v>
      </c>
      <c r="P8" s="93">
        <f t="shared" si="5"/>
        <v>7.7185639880952372</v>
      </c>
      <c r="Q8" s="92"/>
      <c r="R8" s="92"/>
      <c r="S8" s="92"/>
      <c r="T8" s="93">
        <v>30.135999999999999</v>
      </c>
      <c r="U8" s="93">
        <v>45.42</v>
      </c>
      <c r="V8" s="93">
        <f t="shared" si="4"/>
        <v>1.5071675073002391</v>
      </c>
      <c r="W8" s="93">
        <v>349.55200000000002</v>
      </c>
      <c r="X8" s="93">
        <v>319.86</v>
      </c>
      <c r="Y8" s="93">
        <f>X8/W8</f>
        <v>0.9150569872293679</v>
      </c>
      <c r="Z8" s="93">
        <v>56.415999999999997</v>
      </c>
      <c r="AA8" s="93">
        <v>117.34</v>
      </c>
      <c r="AB8" s="93">
        <f>AA8/Z8</f>
        <v>2.0799064095292117</v>
      </c>
      <c r="AC8" s="93">
        <v>6.5289999999999999</v>
      </c>
      <c r="AD8" s="93">
        <v>12.67</v>
      </c>
      <c r="AE8" s="93">
        <f>AD8/AC8</f>
        <v>1.9405728289171389</v>
      </c>
      <c r="AF8" s="93">
        <v>5.6360000000000001</v>
      </c>
      <c r="AG8" s="93">
        <v>5.34</v>
      </c>
      <c r="AH8" s="93">
        <f t="shared" ref="AH8:AH32" si="6">AG8/AF8</f>
        <v>0.94748048261178131</v>
      </c>
      <c r="AI8" s="93">
        <v>10.909000000000001</v>
      </c>
      <c r="AJ8" s="93">
        <v>14.31</v>
      </c>
      <c r="AK8" s="93">
        <f>AJ8/AI8</f>
        <v>1.3117609313410945</v>
      </c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4">
        <v>490.72700000000003</v>
      </c>
      <c r="BH8" s="94">
        <v>747.16</v>
      </c>
      <c r="BI8" s="80">
        <f t="shared" si="3"/>
        <v>1.5225573485868924</v>
      </c>
    </row>
    <row r="9" spans="1:61" ht="18" x14ac:dyDescent="0.35">
      <c r="A9" s="91" t="s">
        <v>30</v>
      </c>
      <c r="B9" s="92"/>
      <c r="C9" s="92"/>
      <c r="D9" s="92"/>
      <c r="E9" s="93">
        <v>9.1999999999999998E-2</v>
      </c>
      <c r="F9" s="93">
        <v>0.72</v>
      </c>
      <c r="G9" s="93">
        <f t="shared" si="0"/>
        <v>7.8260869565217392</v>
      </c>
      <c r="H9" s="93">
        <v>2.222</v>
      </c>
      <c r="I9" s="93">
        <v>4.08</v>
      </c>
      <c r="J9" s="93">
        <f t="shared" si="1"/>
        <v>1.8361836183618363</v>
      </c>
      <c r="K9" s="93">
        <v>0.92100000000000004</v>
      </c>
      <c r="L9" s="93">
        <v>2.2000000000000002</v>
      </c>
      <c r="M9" s="93">
        <f t="shared" si="2"/>
        <v>2.3887079261672097</v>
      </c>
      <c r="N9" s="93">
        <v>3.2930000000000001</v>
      </c>
      <c r="O9" s="93">
        <v>42.64</v>
      </c>
      <c r="P9" s="93">
        <f t="shared" si="5"/>
        <v>12.948679016094745</v>
      </c>
      <c r="Q9" s="92"/>
      <c r="R9" s="92"/>
      <c r="S9" s="92"/>
      <c r="T9" s="93">
        <v>2.2839999999999998</v>
      </c>
      <c r="U9" s="93">
        <v>5.91</v>
      </c>
      <c r="V9" s="93">
        <f t="shared" si="4"/>
        <v>2.5875656742556918</v>
      </c>
      <c r="W9" s="93"/>
      <c r="X9" s="93"/>
      <c r="Y9" s="93"/>
      <c r="Z9" s="93">
        <v>7.6999999999999999E-2</v>
      </c>
      <c r="AA9" s="93">
        <v>0.12</v>
      </c>
      <c r="AB9" s="93">
        <f t="shared" ref="AB9:AB32" si="7">AA9/Z9</f>
        <v>1.5584415584415583</v>
      </c>
      <c r="AC9" s="93">
        <v>2.23</v>
      </c>
      <c r="AD9" s="93">
        <v>9.2200000000000006</v>
      </c>
      <c r="AE9" s="93">
        <f t="shared" ref="AE9:AE32" si="8">AD9/AC9</f>
        <v>4.1345291479820627</v>
      </c>
      <c r="AF9" s="92"/>
      <c r="AG9" s="92"/>
      <c r="AH9" s="93"/>
      <c r="AI9" s="92"/>
      <c r="AJ9" s="92"/>
      <c r="AK9" s="93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4">
        <v>11.119000000000002</v>
      </c>
      <c r="BH9" s="94">
        <v>64.89</v>
      </c>
      <c r="BI9" s="80">
        <f t="shared" si="3"/>
        <v>5.8359564709056562</v>
      </c>
    </row>
    <row r="10" spans="1:61" ht="18" x14ac:dyDescent="0.35">
      <c r="A10" s="91" t="s">
        <v>31</v>
      </c>
      <c r="B10" s="92"/>
      <c r="C10" s="92"/>
      <c r="D10" s="92"/>
      <c r="E10" s="93">
        <v>2.2229999999999999</v>
      </c>
      <c r="F10" s="93">
        <v>8.94</v>
      </c>
      <c r="G10" s="93">
        <f t="shared" si="0"/>
        <v>4.0215924426450744</v>
      </c>
      <c r="H10" s="93">
        <v>0.57799999999999996</v>
      </c>
      <c r="I10" s="93">
        <v>0.2</v>
      </c>
      <c r="J10" s="93">
        <f t="shared" si="1"/>
        <v>0.34602076124567477</v>
      </c>
      <c r="K10" s="93">
        <v>0.27400000000000002</v>
      </c>
      <c r="L10" s="93">
        <v>0.03</v>
      </c>
      <c r="M10" s="93">
        <f t="shared" si="2"/>
        <v>0.1094890510948905</v>
      </c>
      <c r="N10" s="93">
        <v>3.5960000000000001</v>
      </c>
      <c r="O10" s="93">
        <v>1.42</v>
      </c>
      <c r="P10" s="93">
        <f t="shared" si="5"/>
        <v>0.39488320355951056</v>
      </c>
      <c r="Q10" s="92"/>
      <c r="R10" s="92"/>
      <c r="S10" s="92"/>
      <c r="T10" s="93">
        <v>0.128</v>
      </c>
      <c r="U10" s="93">
        <v>0.03</v>
      </c>
      <c r="V10" s="93">
        <f t="shared" si="4"/>
        <v>0.234375</v>
      </c>
      <c r="W10" s="93">
        <v>0.08</v>
      </c>
      <c r="X10" s="93">
        <v>0.02</v>
      </c>
      <c r="Y10" s="93">
        <f t="shared" ref="Y10:Y32" si="9">X10/W10</f>
        <v>0.25</v>
      </c>
      <c r="Z10" s="92"/>
      <c r="AA10" s="92"/>
      <c r="AB10" s="93"/>
      <c r="AC10" s="93"/>
      <c r="AD10" s="93"/>
      <c r="AE10" s="93"/>
      <c r="AF10" s="92"/>
      <c r="AG10" s="92"/>
      <c r="AH10" s="93"/>
      <c r="AI10" s="92"/>
      <c r="AJ10" s="92"/>
      <c r="AK10" s="93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4">
        <v>6.8789999999999996</v>
      </c>
      <c r="BH10" s="94">
        <v>10.639999999999997</v>
      </c>
      <c r="BI10" s="80">
        <f t="shared" si="3"/>
        <v>1.5467364442506175</v>
      </c>
    </row>
    <row r="11" spans="1:61" ht="18" x14ac:dyDescent="0.35">
      <c r="A11" s="91" t="s">
        <v>32</v>
      </c>
      <c r="B11" s="92"/>
      <c r="C11" s="92"/>
      <c r="D11" s="92"/>
      <c r="E11" s="92">
        <v>1.9E-2</v>
      </c>
      <c r="F11" s="96">
        <v>0.05</v>
      </c>
      <c r="G11" s="93">
        <f t="shared" si="0"/>
        <v>2.6315789473684212</v>
      </c>
      <c r="H11" s="96">
        <v>0.63</v>
      </c>
      <c r="I11" s="96">
        <v>0.52</v>
      </c>
      <c r="J11" s="93">
        <f t="shared" si="1"/>
        <v>0.82539682539682546</v>
      </c>
      <c r="K11" s="92">
        <v>0.01</v>
      </c>
      <c r="L11" s="92">
        <v>0.01</v>
      </c>
      <c r="M11" s="93">
        <f t="shared" si="2"/>
        <v>1</v>
      </c>
      <c r="N11" s="96">
        <v>0.68</v>
      </c>
      <c r="O11" s="96">
        <v>0.55000000000000004</v>
      </c>
      <c r="P11" s="93">
        <f t="shared" si="5"/>
        <v>0.80882352941176472</v>
      </c>
      <c r="Q11" s="92"/>
      <c r="R11" s="92"/>
      <c r="S11" s="92"/>
      <c r="T11" s="93"/>
      <c r="U11" s="93"/>
      <c r="V11" s="93"/>
      <c r="W11" s="93"/>
      <c r="X11" s="93"/>
      <c r="Y11" s="93"/>
      <c r="Z11" s="92"/>
      <c r="AA11" s="92"/>
      <c r="AB11" s="93"/>
      <c r="AC11" s="93"/>
      <c r="AD11" s="93"/>
      <c r="AE11" s="93"/>
      <c r="AF11" s="92"/>
      <c r="AG11" s="92"/>
      <c r="AH11" s="93"/>
      <c r="AI11" s="92"/>
      <c r="AJ11" s="92"/>
      <c r="AK11" s="93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>
        <v>3.45</v>
      </c>
      <c r="AY11" s="92">
        <v>4.0000000000000001E-3</v>
      </c>
      <c r="AZ11" s="92">
        <f>AY11/AX11</f>
        <v>1.1594202898550724E-3</v>
      </c>
      <c r="BA11" s="92"/>
      <c r="BB11" s="92"/>
      <c r="BC11" s="92"/>
      <c r="BD11" s="92"/>
      <c r="BE11" s="92"/>
      <c r="BF11" s="92"/>
      <c r="BG11" s="94">
        <v>4.7889999999999997</v>
      </c>
      <c r="BH11" s="94">
        <v>1.1340000000000001</v>
      </c>
      <c r="BI11" s="80">
        <f t="shared" si="3"/>
        <v>0.23679264982250997</v>
      </c>
    </row>
    <row r="12" spans="1:61" ht="18" x14ac:dyDescent="0.35">
      <c r="A12" s="91" t="s">
        <v>33</v>
      </c>
      <c r="B12" s="92"/>
      <c r="C12" s="92"/>
      <c r="D12" s="92"/>
      <c r="E12" s="92"/>
      <c r="F12" s="96"/>
      <c r="G12" s="93"/>
      <c r="H12" s="96"/>
      <c r="I12" s="96"/>
      <c r="J12" s="93"/>
      <c r="K12" s="92"/>
      <c r="L12" s="92"/>
      <c r="M12" s="93"/>
      <c r="N12" s="96"/>
      <c r="O12" s="96"/>
      <c r="P12" s="93"/>
      <c r="Q12" s="92"/>
      <c r="R12" s="92"/>
      <c r="S12" s="92"/>
      <c r="T12" s="93"/>
      <c r="U12" s="93"/>
      <c r="V12" s="93"/>
      <c r="W12" s="93"/>
      <c r="X12" s="93"/>
      <c r="Y12" s="93"/>
      <c r="Z12" s="92"/>
      <c r="AA12" s="92"/>
      <c r="AB12" s="93"/>
      <c r="AC12" s="93"/>
      <c r="AD12" s="93"/>
      <c r="AE12" s="93"/>
      <c r="AF12" s="92"/>
      <c r="AG12" s="92"/>
      <c r="AH12" s="93"/>
      <c r="AI12" s="92"/>
      <c r="AJ12" s="92"/>
      <c r="AK12" s="93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4">
        <v>0</v>
      </c>
      <c r="BH12" s="94">
        <v>0</v>
      </c>
      <c r="BI12" s="80"/>
    </row>
    <row r="13" spans="1:61" ht="18" x14ac:dyDescent="0.35">
      <c r="A13" s="91" t="s">
        <v>34</v>
      </c>
      <c r="B13" s="92">
        <v>148.37899999999999</v>
      </c>
      <c r="C13" s="92">
        <v>94.141999999999996</v>
      </c>
      <c r="D13" s="92">
        <f t="shared" ref="D13:D32" si="10">C13/B13</f>
        <v>0.63446983737590901</v>
      </c>
      <c r="E13" s="93">
        <v>15.858000000000001</v>
      </c>
      <c r="F13" s="93">
        <v>244.07</v>
      </c>
      <c r="G13" s="93">
        <f t="shared" si="0"/>
        <v>15.39096985748518</v>
      </c>
      <c r="H13" s="93">
        <v>157.58699999999999</v>
      </c>
      <c r="I13" s="93">
        <v>194.76</v>
      </c>
      <c r="J13" s="93">
        <f t="shared" si="1"/>
        <v>1.2358887471682309</v>
      </c>
      <c r="K13" s="93">
        <v>26.579000000000001</v>
      </c>
      <c r="L13" s="93">
        <v>153.77000000000001</v>
      </c>
      <c r="M13" s="93">
        <f t="shared" si="2"/>
        <v>5.7853944843673579</v>
      </c>
      <c r="N13" s="93">
        <v>4.0060000000000002</v>
      </c>
      <c r="O13" s="93">
        <v>26.55</v>
      </c>
      <c r="P13" s="93">
        <f t="shared" si="5"/>
        <v>6.6275586620069893</v>
      </c>
      <c r="Q13" s="92">
        <v>1.8</v>
      </c>
      <c r="R13" s="92">
        <v>0.21</v>
      </c>
      <c r="S13" s="92">
        <f t="shared" ref="S13:S30" si="11">R13/Q13</f>
        <v>0.11666666666666665</v>
      </c>
      <c r="T13" s="93">
        <v>2.9180000000000001</v>
      </c>
      <c r="U13" s="93">
        <v>2.61</v>
      </c>
      <c r="V13" s="93">
        <f t="shared" si="4"/>
        <v>0.89444825222755298</v>
      </c>
      <c r="W13" s="93"/>
      <c r="X13" s="93"/>
      <c r="Y13" s="93"/>
      <c r="Z13" s="92"/>
      <c r="AA13" s="92"/>
      <c r="AB13" s="93"/>
      <c r="AC13" s="93">
        <v>0.63100000000000001</v>
      </c>
      <c r="AD13" s="93">
        <v>3.58</v>
      </c>
      <c r="AE13" s="93">
        <f t="shared" si="8"/>
        <v>5.6735340729001589</v>
      </c>
      <c r="AF13" s="92"/>
      <c r="AG13" s="92"/>
      <c r="AH13" s="93"/>
      <c r="AI13" s="93">
        <v>0.25900000000000001</v>
      </c>
      <c r="AJ13" s="93">
        <v>1.19</v>
      </c>
      <c r="AK13" s="93">
        <f t="shared" ref="AK13:AK32" si="12">AJ13/AI13</f>
        <v>4.5945945945945939</v>
      </c>
      <c r="AL13" s="93">
        <v>3.3000000000000002E-2</v>
      </c>
      <c r="AM13" s="93">
        <v>0.01</v>
      </c>
      <c r="AN13" s="93">
        <f>AM13/AL13</f>
        <v>0.30303030303030304</v>
      </c>
      <c r="AO13" s="93">
        <v>0.71599999999999997</v>
      </c>
      <c r="AP13" s="93">
        <v>0.64</v>
      </c>
      <c r="AQ13" s="93">
        <f>AP13/AO13</f>
        <v>0.89385474860335201</v>
      </c>
      <c r="AR13" s="93">
        <v>0.22500000000000001</v>
      </c>
      <c r="AS13" s="93">
        <v>0.17</v>
      </c>
      <c r="AT13" s="93">
        <f>AS13/AR13</f>
        <v>0.75555555555555554</v>
      </c>
      <c r="AU13" s="93">
        <v>12.173</v>
      </c>
      <c r="AV13" s="93">
        <v>58</v>
      </c>
      <c r="AW13" s="92">
        <f t="shared" ref="AW13:AW32" si="13">AV13/AU13</f>
        <v>4.764643062515403</v>
      </c>
      <c r="AX13" s="93"/>
      <c r="AY13" s="93"/>
      <c r="AZ13" s="93"/>
      <c r="BA13" s="93">
        <v>0.2</v>
      </c>
      <c r="BB13" s="93">
        <v>0.06</v>
      </c>
      <c r="BC13" s="92">
        <f t="shared" ref="BC13:BC32" si="14">BB13/BA13</f>
        <v>0.3</v>
      </c>
      <c r="BD13" s="92"/>
      <c r="BE13" s="92"/>
      <c r="BF13" s="92"/>
      <c r="BG13" s="94">
        <v>371.36400000000003</v>
      </c>
      <c r="BH13" s="94">
        <v>779.76199999999994</v>
      </c>
      <c r="BI13" s="80">
        <f t="shared" si="3"/>
        <v>2.0997242597559262</v>
      </c>
    </row>
    <row r="14" spans="1:61" ht="18" x14ac:dyDescent="0.35">
      <c r="A14" s="91" t="s">
        <v>35</v>
      </c>
      <c r="B14" s="92">
        <v>82.76</v>
      </c>
      <c r="C14" s="92">
        <v>36.78</v>
      </c>
      <c r="D14" s="92">
        <f t="shared" si="10"/>
        <v>0.44441759304011597</v>
      </c>
      <c r="E14" s="93">
        <v>3.2749999999999999</v>
      </c>
      <c r="F14" s="93">
        <v>70.33</v>
      </c>
      <c r="G14" s="93">
        <f t="shared" si="0"/>
        <v>21.474809160305345</v>
      </c>
      <c r="H14" s="93"/>
      <c r="I14" s="93"/>
      <c r="J14" s="93"/>
      <c r="K14" s="93">
        <v>2.484</v>
      </c>
      <c r="L14" s="93">
        <v>6.694</v>
      </c>
      <c r="M14" s="93">
        <f t="shared" si="2"/>
        <v>2.6948470209339774</v>
      </c>
      <c r="N14" s="93">
        <v>7.0000000000000007E-2</v>
      </c>
      <c r="O14" s="93">
        <v>0.35</v>
      </c>
      <c r="P14" s="93">
        <f t="shared" si="5"/>
        <v>4.9999999999999991</v>
      </c>
      <c r="Q14" s="92">
        <v>38.880000000000003</v>
      </c>
      <c r="R14" s="92">
        <v>11.54</v>
      </c>
      <c r="S14" s="92">
        <f t="shared" si="11"/>
        <v>0.29681069958847733</v>
      </c>
      <c r="T14" s="93"/>
      <c r="U14" s="93"/>
      <c r="V14" s="93"/>
      <c r="W14" s="93"/>
      <c r="X14" s="93"/>
      <c r="Y14" s="93"/>
      <c r="Z14" s="92"/>
      <c r="AA14" s="92"/>
      <c r="AB14" s="93"/>
      <c r="AC14" s="93"/>
      <c r="AD14" s="93"/>
      <c r="AE14" s="93"/>
      <c r="AF14" s="92"/>
      <c r="AG14" s="92"/>
      <c r="AH14" s="93"/>
      <c r="AI14" s="92"/>
      <c r="AJ14" s="92"/>
      <c r="AK14" s="93"/>
      <c r="AL14" s="93">
        <v>0.108</v>
      </c>
      <c r="AM14" s="93">
        <v>0.02</v>
      </c>
      <c r="AN14" s="93">
        <f t="shared" ref="AN14:AN32" si="15">AM14/AL14</f>
        <v>0.1851851851851852</v>
      </c>
      <c r="AO14" s="92">
        <v>22.77</v>
      </c>
      <c r="AP14" s="92">
        <v>14.6</v>
      </c>
      <c r="AQ14" s="93">
        <f t="shared" ref="AQ14:AQ32" si="16">AP14/AO14</f>
        <v>0.64119455423803251</v>
      </c>
      <c r="AR14" s="93">
        <v>1.0349999999999999</v>
      </c>
      <c r="AS14" s="93">
        <v>0.06</v>
      </c>
      <c r="AT14" s="93">
        <f t="shared" ref="AT14:AT32" si="17">AS14/AR14</f>
        <v>5.7971014492753624E-2</v>
      </c>
      <c r="AU14" s="93">
        <v>9.984</v>
      </c>
      <c r="AV14" s="93">
        <v>37.92</v>
      </c>
      <c r="AW14" s="92">
        <f t="shared" si="13"/>
        <v>3.7980769230769234</v>
      </c>
      <c r="AX14" s="93"/>
      <c r="AY14" s="93"/>
      <c r="AZ14" s="93"/>
      <c r="BA14" s="93">
        <v>0.05</v>
      </c>
      <c r="BB14" s="93">
        <v>0.04</v>
      </c>
      <c r="BC14" s="92">
        <f t="shared" si="14"/>
        <v>0.79999999999999993</v>
      </c>
      <c r="BD14" s="92"/>
      <c r="BE14" s="92"/>
      <c r="BF14" s="92"/>
      <c r="BG14" s="94">
        <v>161.41600000000003</v>
      </c>
      <c r="BH14" s="94">
        <v>178.33399999999997</v>
      </c>
      <c r="BI14" s="80">
        <f t="shared" si="3"/>
        <v>1.1048099321009066</v>
      </c>
    </row>
    <row r="15" spans="1:61" ht="18" x14ac:dyDescent="0.35">
      <c r="A15" s="91" t="s">
        <v>36</v>
      </c>
      <c r="B15" s="92"/>
      <c r="C15" s="92"/>
      <c r="D15" s="92"/>
      <c r="E15" s="93">
        <v>24.718</v>
      </c>
      <c r="F15" s="93">
        <v>412.75</v>
      </c>
      <c r="G15" s="93">
        <f t="shared" si="0"/>
        <v>16.698357472287402</v>
      </c>
      <c r="H15" s="93">
        <v>87.650999999999996</v>
      </c>
      <c r="I15" s="93">
        <v>217.74</v>
      </c>
      <c r="J15" s="93">
        <f t="shared" si="1"/>
        <v>2.4841701748981757</v>
      </c>
      <c r="K15" s="93">
        <v>12.62</v>
      </c>
      <c r="L15" s="93">
        <v>44.82</v>
      </c>
      <c r="M15" s="93">
        <f t="shared" si="2"/>
        <v>3.5515055467511889</v>
      </c>
      <c r="N15" s="93">
        <v>178.33</v>
      </c>
      <c r="O15" s="93">
        <v>1821.27</v>
      </c>
      <c r="P15" s="93">
        <f t="shared" si="5"/>
        <v>10.212919867661077</v>
      </c>
      <c r="Q15" s="92"/>
      <c r="R15" s="92"/>
      <c r="S15" s="92"/>
      <c r="T15" s="93">
        <v>278.67500000000001</v>
      </c>
      <c r="U15" s="93">
        <v>370.33</v>
      </c>
      <c r="V15" s="93">
        <f t="shared" si="4"/>
        <v>1.328895666995604</v>
      </c>
      <c r="W15" s="93">
        <v>0.49099999999999999</v>
      </c>
      <c r="X15" s="93">
        <v>0.52</v>
      </c>
      <c r="Y15" s="93">
        <f t="shared" si="9"/>
        <v>1.059063136456212</v>
      </c>
      <c r="Z15" s="93">
        <v>1.488</v>
      </c>
      <c r="AA15" s="93">
        <v>2.76</v>
      </c>
      <c r="AB15" s="93">
        <f t="shared" si="7"/>
        <v>1.8548387096774193</v>
      </c>
      <c r="AC15" s="93">
        <v>50.491</v>
      </c>
      <c r="AD15" s="93">
        <v>88.46</v>
      </c>
      <c r="AE15" s="93">
        <f t="shared" si="8"/>
        <v>1.7519954051217048</v>
      </c>
      <c r="AF15" s="93">
        <v>4.8520000000000003</v>
      </c>
      <c r="AG15" s="93">
        <v>4.91</v>
      </c>
      <c r="AH15" s="93">
        <f t="shared" si="6"/>
        <v>1.0119538334707336</v>
      </c>
      <c r="AI15" s="93">
        <v>2.5999999999999999E-2</v>
      </c>
      <c r="AJ15" s="93">
        <v>0.03</v>
      </c>
      <c r="AK15" s="93">
        <f t="shared" si="12"/>
        <v>1.153846153846154</v>
      </c>
      <c r="AL15" s="92"/>
      <c r="AM15" s="92"/>
      <c r="AN15" s="93"/>
      <c r="AO15" s="92"/>
      <c r="AP15" s="92"/>
      <c r="AQ15" s="93"/>
      <c r="AR15" s="92"/>
      <c r="AS15" s="92"/>
      <c r="AT15" s="93"/>
      <c r="AU15" s="93">
        <v>0.80500000000000005</v>
      </c>
      <c r="AV15" s="93">
        <v>7.85</v>
      </c>
      <c r="AW15" s="92">
        <f t="shared" si="13"/>
        <v>9.7515527950310545</v>
      </c>
      <c r="AX15" s="92"/>
      <c r="AY15" s="92"/>
      <c r="AZ15" s="92"/>
      <c r="BA15" s="92"/>
      <c r="BB15" s="92"/>
      <c r="BC15" s="92"/>
      <c r="BD15" s="92"/>
      <c r="BE15" s="92"/>
      <c r="BF15" s="92"/>
      <c r="BG15" s="94">
        <v>640.14699999999993</v>
      </c>
      <c r="BH15" s="94">
        <v>2971.44</v>
      </c>
      <c r="BI15" s="80">
        <f t="shared" si="3"/>
        <v>4.6418088345333191</v>
      </c>
    </row>
    <row r="16" spans="1:61" ht="18" x14ac:dyDescent="0.35">
      <c r="A16" s="91" t="s">
        <v>37</v>
      </c>
      <c r="B16" s="92">
        <v>1.33</v>
      </c>
      <c r="C16" s="92">
        <v>0.67</v>
      </c>
      <c r="D16" s="92">
        <f t="shared" si="10"/>
        <v>0.50375939849624063</v>
      </c>
      <c r="E16" s="93">
        <v>8.1050000000000004</v>
      </c>
      <c r="F16" s="93">
        <v>115.51</v>
      </c>
      <c r="G16" s="93">
        <f t="shared" si="0"/>
        <v>14.251696483652067</v>
      </c>
      <c r="H16" s="93">
        <v>5.5640000000000001</v>
      </c>
      <c r="I16" s="93">
        <v>13.69</v>
      </c>
      <c r="J16" s="93">
        <f t="shared" si="1"/>
        <v>2.4604601006470164</v>
      </c>
      <c r="K16" s="93">
        <v>17.224</v>
      </c>
      <c r="L16" s="93">
        <v>38.31</v>
      </c>
      <c r="M16" s="93">
        <f t="shared" si="2"/>
        <v>2.2242220157919181</v>
      </c>
      <c r="N16" s="93">
        <v>2.6589999999999998</v>
      </c>
      <c r="O16" s="93">
        <v>13.72</v>
      </c>
      <c r="P16" s="93">
        <f t="shared" si="5"/>
        <v>5.1598345242572403</v>
      </c>
      <c r="Q16" s="92"/>
      <c r="R16" s="92"/>
      <c r="S16" s="92"/>
      <c r="T16" s="93">
        <v>1.696</v>
      </c>
      <c r="U16" s="93">
        <v>4.47</v>
      </c>
      <c r="V16" s="93">
        <f t="shared" si="4"/>
        <v>2.6356132075471699</v>
      </c>
      <c r="W16" s="92"/>
      <c r="X16" s="92"/>
      <c r="Y16" s="93"/>
      <c r="Z16" s="93"/>
      <c r="AA16" s="93"/>
      <c r="AB16" s="93"/>
      <c r="AC16" s="93">
        <v>0.78900000000000003</v>
      </c>
      <c r="AD16" s="93">
        <v>5.79</v>
      </c>
      <c r="AE16" s="93">
        <f t="shared" si="8"/>
        <v>7.338403041825095</v>
      </c>
      <c r="AF16" s="92"/>
      <c r="AG16" s="92"/>
      <c r="AH16" s="93"/>
      <c r="AI16" s="92"/>
      <c r="AJ16" s="92"/>
      <c r="AK16" s="93"/>
      <c r="AL16" s="93">
        <v>2.5999999999999999E-2</v>
      </c>
      <c r="AM16" s="93">
        <v>0.03</v>
      </c>
      <c r="AN16" s="93">
        <f t="shared" si="15"/>
        <v>1.153846153846154</v>
      </c>
      <c r="AO16" s="93">
        <v>9.7000000000000003E-2</v>
      </c>
      <c r="AP16" s="93">
        <v>0.12</v>
      </c>
      <c r="AQ16" s="93">
        <f t="shared" si="16"/>
        <v>1.2371134020618555</v>
      </c>
      <c r="AR16" s="92"/>
      <c r="AS16" s="92"/>
      <c r="AT16" s="93"/>
      <c r="AU16" s="93">
        <v>0.69899999999999995</v>
      </c>
      <c r="AV16" s="93">
        <v>4.22</v>
      </c>
      <c r="AW16" s="92">
        <f t="shared" si="13"/>
        <v>6.0371959942775391</v>
      </c>
      <c r="AX16" s="92"/>
      <c r="AY16" s="92"/>
      <c r="AZ16" s="92"/>
      <c r="BA16" s="92"/>
      <c r="BB16" s="92"/>
      <c r="BC16" s="92"/>
      <c r="BD16" s="92"/>
      <c r="BE16" s="92"/>
      <c r="BF16" s="92"/>
      <c r="BG16" s="94">
        <v>38.189</v>
      </c>
      <c r="BH16" s="94">
        <v>196.53</v>
      </c>
      <c r="BI16" s="80">
        <f t="shared" si="3"/>
        <v>5.1462463012909474</v>
      </c>
    </row>
    <row r="17" spans="1:61" ht="18" x14ac:dyDescent="0.35">
      <c r="A17" s="97" t="s">
        <v>38</v>
      </c>
      <c r="B17" s="92"/>
      <c r="C17" s="92"/>
      <c r="D17" s="92"/>
      <c r="E17" s="93">
        <v>2.448</v>
      </c>
      <c r="F17" s="93">
        <v>18.57</v>
      </c>
      <c r="G17" s="93">
        <f t="shared" si="0"/>
        <v>7.5857843137254903</v>
      </c>
      <c r="H17" s="93">
        <v>6.5650000000000004</v>
      </c>
      <c r="I17" s="93">
        <v>3.98</v>
      </c>
      <c r="J17" s="93">
        <f t="shared" si="1"/>
        <v>0.60624523990860624</v>
      </c>
      <c r="K17" s="93">
        <v>2.504</v>
      </c>
      <c r="L17" s="93">
        <v>6.07</v>
      </c>
      <c r="M17" s="93">
        <f t="shared" si="2"/>
        <v>2.4241214057507987</v>
      </c>
      <c r="N17" s="93"/>
      <c r="O17" s="93"/>
      <c r="P17" s="93"/>
      <c r="Q17" s="92"/>
      <c r="R17" s="92"/>
      <c r="S17" s="92"/>
      <c r="T17" s="92">
        <v>0.01</v>
      </c>
      <c r="U17" s="92">
        <v>0.01</v>
      </c>
      <c r="V17" s="93">
        <f t="shared" si="4"/>
        <v>1</v>
      </c>
      <c r="W17" s="92"/>
      <c r="X17" s="92"/>
      <c r="Y17" s="93"/>
      <c r="Z17" s="92"/>
      <c r="AA17" s="92"/>
      <c r="AB17" s="93"/>
      <c r="AC17" s="92"/>
      <c r="AD17" s="92"/>
      <c r="AE17" s="93"/>
      <c r="AF17" s="92"/>
      <c r="AG17" s="92"/>
      <c r="AH17" s="93"/>
      <c r="AI17" s="92"/>
      <c r="AJ17" s="92"/>
      <c r="AK17" s="93"/>
      <c r="AL17" s="92"/>
      <c r="AM17" s="92"/>
      <c r="AN17" s="93"/>
      <c r="AO17" s="92"/>
      <c r="AP17" s="92"/>
      <c r="AQ17" s="93"/>
      <c r="AR17" s="92"/>
      <c r="AS17" s="92"/>
      <c r="AT17" s="93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4">
        <v>11.526999999999999</v>
      </c>
      <c r="BH17" s="94">
        <v>28.630000000000003</v>
      </c>
      <c r="BI17" s="80">
        <f t="shared" si="3"/>
        <v>2.483733842283335</v>
      </c>
    </row>
    <row r="18" spans="1:61" ht="18" x14ac:dyDescent="0.35">
      <c r="A18" s="91" t="s">
        <v>39</v>
      </c>
      <c r="B18" s="92">
        <v>1.04</v>
      </c>
      <c r="C18" s="92">
        <v>0.78</v>
      </c>
      <c r="D18" s="92">
        <f t="shared" si="10"/>
        <v>0.75</v>
      </c>
      <c r="E18" s="93">
        <v>9.9529999999999994</v>
      </c>
      <c r="F18" s="93">
        <v>66.27</v>
      </c>
      <c r="G18" s="93">
        <f t="shared" si="0"/>
        <v>6.6582939817140563</v>
      </c>
      <c r="H18" s="96"/>
      <c r="I18" s="96"/>
      <c r="J18" s="93"/>
      <c r="K18" s="96">
        <v>2.66</v>
      </c>
      <c r="L18" s="96">
        <v>3.31</v>
      </c>
      <c r="M18" s="93">
        <f t="shared" si="2"/>
        <v>1.244360902255639</v>
      </c>
      <c r="N18" s="96"/>
      <c r="O18" s="96"/>
      <c r="P18" s="93"/>
      <c r="Q18" s="92"/>
      <c r="R18" s="92"/>
      <c r="S18" s="92"/>
      <c r="T18" s="92"/>
      <c r="U18" s="92"/>
      <c r="V18" s="93"/>
      <c r="W18" s="92"/>
      <c r="X18" s="92"/>
      <c r="Y18" s="93"/>
      <c r="Z18" s="92"/>
      <c r="AA18" s="92"/>
      <c r="AB18" s="93"/>
      <c r="AC18" s="92"/>
      <c r="AD18" s="92"/>
      <c r="AE18" s="93"/>
      <c r="AF18" s="92"/>
      <c r="AG18" s="92"/>
      <c r="AH18" s="93"/>
      <c r="AI18" s="92"/>
      <c r="AJ18" s="92"/>
      <c r="AK18" s="93"/>
      <c r="AL18" s="92">
        <v>2</v>
      </c>
      <c r="AM18" s="92">
        <v>5</v>
      </c>
      <c r="AN18" s="93">
        <f t="shared" si="15"/>
        <v>2.5</v>
      </c>
      <c r="AO18" s="92"/>
      <c r="AP18" s="92"/>
      <c r="AQ18" s="93"/>
      <c r="AR18" s="92"/>
      <c r="AS18" s="92"/>
      <c r="AT18" s="93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4">
        <v>15.652999999999999</v>
      </c>
      <c r="BH18" s="94">
        <v>75.36</v>
      </c>
      <c r="BI18" s="80">
        <f t="shared" si="3"/>
        <v>4.8144125726697764</v>
      </c>
    </row>
    <row r="19" spans="1:61" ht="18" x14ac:dyDescent="0.35">
      <c r="A19" s="91" t="s">
        <v>40</v>
      </c>
      <c r="B19" s="92">
        <v>7.0000000000000007E-2</v>
      </c>
      <c r="C19" s="92">
        <v>0</v>
      </c>
      <c r="D19" s="92">
        <f t="shared" si="10"/>
        <v>0</v>
      </c>
      <c r="E19" s="93">
        <v>8.5530000000000008</v>
      </c>
      <c r="F19" s="93">
        <v>60.13</v>
      </c>
      <c r="G19" s="93">
        <f t="shared" si="0"/>
        <v>7.0302817724774931</v>
      </c>
      <c r="H19" s="96">
        <v>11.2</v>
      </c>
      <c r="I19" s="96">
        <v>10.92</v>
      </c>
      <c r="J19" s="93">
        <f t="shared" si="1"/>
        <v>0.97500000000000009</v>
      </c>
      <c r="K19" s="96">
        <v>7.74</v>
      </c>
      <c r="L19" s="96">
        <v>29.82</v>
      </c>
      <c r="M19" s="93">
        <f t="shared" si="2"/>
        <v>3.8527131782945734</v>
      </c>
      <c r="N19" s="96">
        <v>0.02</v>
      </c>
      <c r="O19" s="96">
        <v>0.01</v>
      </c>
      <c r="P19" s="93">
        <f t="shared" si="5"/>
        <v>0.5</v>
      </c>
      <c r="Q19" s="92"/>
      <c r="R19" s="92"/>
      <c r="S19" s="92"/>
      <c r="T19" s="92">
        <v>7.0000000000000007E-2</v>
      </c>
      <c r="U19" s="92">
        <v>0.02</v>
      </c>
      <c r="V19" s="93">
        <f t="shared" si="4"/>
        <v>0.2857142857142857</v>
      </c>
      <c r="W19" s="92"/>
      <c r="X19" s="92"/>
      <c r="Y19" s="93"/>
      <c r="Z19" s="92"/>
      <c r="AA19" s="92"/>
      <c r="AB19" s="93"/>
      <c r="AC19" s="92"/>
      <c r="AD19" s="92"/>
      <c r="AE19" s="93"/>
      <c r="AF19" s="92"/>
      <c r="AG19" s="92"/>
      <c r="AH19" s="93"/>
      <c r="AI19" s="92"/>
      <c r="AJ19" s="92"/>
      <c r="AK19" s="93"/>
      <c r="AL19" s="92"/>
      <c r="AM19" s="92"/>
      <c r="AN19" s="93"/>
      <c r="AO19" s="92"/>
      <c r="AP19" s="92"/>
      <c r="AQ19" s="93"/>
      <c r="AR19" s="92"/>
      <c r="AS19" s="92"/>
      <c r="AT19" s="93"/>
      <c r="AU19" s="92">
        <v>0.01</v>
      </c>
      <c r="AV19" s="92">
        <v>0.03</v>
      </c>
      <c r="AW19" s="92">
        <f t="shared" si="13"/>
        <v>3</v>
      </c>
      <c r="AX19" s="92"/>
      <c r="AY19" s="92"/>
      <c r="AZ19" s="92"/>
      <c r="BA19" s="92"/>
      <c r="BB19" s="92"/>
      <c r="BC19" s="92"/>
      <c r="BD19" s="92"/>
      <c r="BE19" s="92"/>
      <c r="BF19" s="92"/>
      <c r="BG19" s="94">
        <v>27.663000000000004</v>
      </c>
      <c r="BH19" s="94">
        <v>100.93</v>
      </c>
      <c r="BI19" s="80">
        <f t="shared" si="3"/>
        <v>3.648555832700719</v>
      </c>
    </row>
    <row r="20" spans="1:61" ht="18" x14ac:dyDescent="0.35">
      <c r="A20" s="95" t="s">
        <v>41</v>
      </c>
      <c r="B20" s="92">
        <v>0.12</v>
      </c>
      <c r="C20" s="92">
        <v>0.03</v>
      </c>
      <c r="D20" s="92">
        <f t="shared" si="10"/>
        <v>0.25</v>
      </c>
      <c r="E20" s="93">
        <v>4.7489999999999997</v>
      </c>
      <c r="F20" s="93">
        <v>35.630000000000003</v>
      </c>
      <c r="G20" s="93">
        <f t="shared" si="0"/>
        <v>7.5026321330806498</v>
      </c>
      <c r="H20" s="93">
        <v>1.3720000000000001</v>
      </c>
      <c r="I20" s="93">
        <v>1.798</v>
      </c>
      <c r="J20" s="93">
        <f t="shared" si="1"/>
        <v>1.3104956268221573</v>
      </c>
      <c r="K20" s="93">
        <v>0.67600000000000005</v>
      </c>
      <c r="L20" s="93">
        <v>1.86</v>
      </c>
      <c r="M20" s="93">
        <f t="shared" si="2"/>
        <v>2.7514792899408285</v>
      </c>
      <c r="N20" s="93">
        <v>0.29499999999999998</v>
      </c>
      <c r="O20" s="93">
        <v>2.3889999999999998</v>
      </c>
      <c r="P20" s="93">
        <f t="shared" si="5"/>
        <v>8.0983050847457623</v>
      </c>
      <c r="Q20" s="92">
        <v>4.09</v>
      </c>
      <c r="R20" s="92">
        <v>2.2999999999999998</v>
      </c>
      <c r="S20" s="92">
        <f t="shared" si="11"/>
        <v>0.56234718826405861</v>
      </c>
      <c r="T20" s="93">
        <v>5.0999999999999997E-2</v>
      </c>
      <c r="U20" s="93">
        <v>0.1</v>
      </c>
      <c r="V20" s="93">
        <f t="shared" si="4"/>
        <v>1.9607843137254903</v>
      </c>
      <c r="W20" s="92"/>
      <c r="X20" s="92"/>
      <c r="Y20" s="93"/>
      <c r="Z20" s="92"/>
      <c r="AA20" s="92"/>
      <c r="AB20" s="93"/>
      <c r="AC20" s="92"/>
      <c r="AD20" s="92"/>
      <c r="AE20" s="93"/>
      <c r="AF20" s="92"/>
      <c r="AG20" s="92"/>
      <c r="AH20" s="93"/>
      <c r="AI20" s="92"/>
      <c r="AJ20" s="92"/>
      <c r="AK20" s="93"/>
      <c r="AL20" s="92">
        <v>0.01</v>
      </c>
      <c r="AM20" s="92">
        <v>0</v>
      </c>
      <c r="AN20" s="93">
        <f t="shared" si="15"/>
        <v>0</v>
      </c>
      <c r="AO20" s="92"/>
      <c r="AP20" s="92"/>
      <c r="AQ20" s="93"/>
      <c r="AR20" s="92"/>
      <c r="AS20" s="92"/>
      <c r="AT20" s="93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4">
        <v>11.363</v>
      </c>
      <c r="BH20" s="94">
        <v>44.107000000000006</v>
      </c>
      <c r="BI20" s="80">
        <f t="shared" si="3"/>
        <v>3.8816333714688032</v>
      </c>
    </row>
    <row r="21" spans="1:61" ht="18" x14ac:dyDescent="0.35">
      <c r="A21" s="91" t="s">
        <v>42</v>
      </c>
      <c r="B21" s="92"/>
      <c r="C21" s="92"/>
      <c r="D21" s="92"/>
      <c r="E21" s="93">
        <v>16.574999999999999</v>
      </c>
      <c r="F21" s="93">
        <v>128.02000000000001</v>
      </c>
      <c r="G21" s="93">
        <f t="shared" si="0"/>
        <v>7.7236802413273011</v>
      </c>
      <c r="H21" s="93">
        <v>71.7</v>
      </c>
      <c r="I21" s="93">
        <v>69.28</v>
      </c>
      <c r="J21" s="93">
        <f t="shared" si="1"/>
        <v>0.96624825662482561</v>
      </c>
      <c r="K21" s="93">
        <v>27.869</v>
      </c>
      <c r="L21" s="93">
        <v>43.61</v>
      </c>
      <c r="M21" s="93">
        <f t="shared" si="2"/>
        <v>1.5648211274175607</v>
      </c>
      <c r="N21" s="93">
        <v>12.441000000000001</v>
      </c>
      <c r="O21" s="93">
        <v>45.48</v>
      </c>
      <c r="P21" s="93">
        <f t="shared" si="5"/>
        <v>3.6556546901374483</v>
      </c>
      <c r="Q21" s="92"/>
      <c r="R21" s="92"/>
      <c r="S21" s="92"/>
      <c r="T21" s="93">
        <v>19.61</v>
      </c>
      <c r="U21" s="93">
        <v>10.86</v>
      </c>
      <c r="V21" s="93">
        <f t="shared" si="4"/>
        <v>0.55379908210096884</v>
      </c>
      <c r="W21" s="92"/>
      <c r="X21" s="92"/>
      <c r="Y21" s="93"/>
      <c r="Z21" s="92"/>
      <c r="AA21" s="92"/>
      <c r="AB21" s="93"/>
      <c r="AC21" s="92"/>
      <c r="AD21" s="92"/>
      <c r="AE21" s="93"/>
      <c r="AF21" s="92"/>
      <c r="AG21" s="92"/>
      <c r="AH21" s="93"/>
      <c r="AI21" s="92"/>
      <c r="AJ21" s="92"/>
      <c r="AK21" s="93"/>
      <c r="AL21" s="92"/>
      <c r="AM21" s="92"/>
      <c r="AN21" s="93"/>
      <c r="AO21" s="92"/>
      <c r="AP21" s="92"/>
      <c r="AQ21" s="93"/>
      <c r="AR21" s="92"/>
      <c r="AS21" s="92"/>
      <c r="AT21" s="93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4">
        <v>148.19499999999999</v>
      </c>
      <c r="BH21" s="94">
        <v>297.25000000000006</v>
      </c>
      <c r="BI21" s="80">
        <f t="shared" si="3"/>
        <v>2.0058031647491488</v>
      </c>
    </row>
    <row r="22" spans="1:61" ht="18" x14ac:dyDescent="0.35">
      <c r="A22" s="91" t="s">
        <v>44</v>
      </c>
      <c r="B22" s="92"/>
      <c r="C22" s="92"/>
      <c r="D22" s="92"/>
      <c r="E22" s="92"/>
      <c r="F22" s="92"/>
      <c r="G22" s="93"/>
      <c r="H22" s="93">
        <v>0.77900000000000003</v>
      </c>
      <c r="I22" s="93">
        <v>1.82</v>
      </c>
      <c r="J22" s="93">
        <f t="shared" si="1"/>
        <v>2.3363286264441592</v>
      </c>
      <c r="K22" s="93">
        <v>0.94499999999999995</v>
      </c>
      <c r="L22" s="93">
        <v>3.45</v>
      </c>
      <c r="M22" s="93">
        <f t="shared" si="2"/>
        <v>3.6507936507936511</v>
      </c>
      <c r="N22" s="93">
        <v>7.367</v>
      </c>
      <c r="O22" s="93">
        <v>104.91</v>
      </c>
      <c r="P22" s="93">
        <f t="shared" si="5"/>
        <v>14.24053210261979</v>
      </c>
      <c r="Q22" s="92"/>
      <c r="R22" s="92"/>
      <c r="S22" s="92"/>
      <c r="T22" s="92"/>
      <c r="U22" s="92"/>
      <c r="V22" s="93"/>
      <c r="W22" s="92"/>
      <c r="X22" s="92"/>
      <c r="Y22" s="93"/>
      <c r="Z22" s="92"/>
      <c r="AA22" s="92"/>
      <c r="AB22" s="93"/>
      <c r="AC22" s="93">
        <v>12.704000000000001</v>
      </c>
      <c r="AD22" s="93">
        <v>2.4500000000000002</v>
      </c>
      <c r="AE22" s="93">
        <f t="shared" si="8"/>
        <v>0.19285264483627204</v>
      </c>
      <c r="AF22" s="92"/>
      <c r="AG22" s="92"/>
      <c r="AH22" s="93"/>
      <c r="AI22" s="93">
        <v>4.5190000000000001</v>
      </c>
      <c r="AJ22" s="93">
        <v>6.41</v>
      </c>
      <c r="AK22" s="93">
        <f t="shared" si="12"/>
        <v>1.4184554104890463</v>
      </c>
      <c r="AL22" s="92"/>
      <c r="AM22" s="92"/>
      <c r="AN22" s="93"/>
      <c r="AO22" s="92"/>
      <c r="AP22" s="92"/>
      <c r="AQ22" s="93"/>
      <c r="AR22" s="92"/>
      <c r="AS22" s="92"/>
      <c r="AT22" s="93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4">
        <v>26.314</v>
      </c>
      <c r="BH22" s="94">
        <v>119.03999999999999</v>
      </c>
      <c r="BI22" s="80">
        <f t="shared" si="3"/>
        <v>4.5238276202781789</v>
      </c>
    </row>
    <row r="23" spans="1:61" ht="18" x14ac:dyDescent="0.35">
      <c r="A23" s="91" t="s">
        <v>45</v>
      </c>
      <c r="B23" s="92"/>
      <c r="C23" s="92"/>
      <c r="D23" s="92"/>
      <c r="E23" s="93">
        <v>0.13800000000000001</v>
      </c>
      <c r="F23" s="93">
        <v>0.46</v>
      </c>
      <c r="G23" s="93">
        <f t="shared" si="0"/>
        <v>3.333333333333333</v>
      </c>
      <c r="H23" s="96">
        <v>8.2200000000000006</v>
      </c>
      <c r="I23" s="96">
        <v>13.87</v>
      </c>
      <c r="J23" s="93">
        <f t="shared" si="1"/>
        <v>1.6873479318734792</v>
      </c>
      <c r="K23" s="96">
        <v>0.19</v>
      </c>
      <c r="L23" s="96">
        <v>0.45</v>
      </c>
      <c r="M23" s="93">
        <f t="shared" si="2"/>
        <v>2.3684210526315788</v>
      </c>
      <c r="N23" s="93">
        <v>74.83</v>
      </c>
      <c r="O23" s="93">
        <v>415.48</v>
      </c>
      <c r="P23" s="93">
        <f t="shared" si="5"/>
        <v>5.5523185888012829</v>
      </c>
      <c r="Q23" s="92"/>
      <c r="R23" s="92"/>
      <c r="S23" s="92"/>
      <c r="T23" s="92">
        <v>68.78</v>
      </c>
      <c r="U23" s="92">
        <v>89.31</v>
      </c>
      <c r="V23" s="93">
        <f t="shared" si="4"/>
        <v>1.2984879325385286</v>
      </c>
      <c r="W23" s="92">
        <v>676.24</v>
      </c>
      <c r="X23" s="92">
        <v>378.65</v>
      </c>
      <c r="Y23" s="93">
        <f t="shared" si="9"/>
        <v>0.55993434283686261</v>
      </c>
      <c r="Z23" s="92">
        <v>30.68</v>
      </c>
      <c r="AA23" s="92">
        <v>35.29</v>
      </c>
      <c r="AB23" s="93">
        <f t="shared" si="7"/>
        <v>1.1502607561929596</v>
      </c>
      <c r="AC23" s="92">
        <v>45.31</v>
      </c>
      <c r="AD23" s="92">
        <v>62.89</v>
      </c>
      <c r="AE23" s="93">
        <f t="shared" si="8"/>
        <v>1.3879938203487088</v>
      </c>
      <c r="AF23" s="92">
        <v>11.27</v>
      </c>
      <c r="AG23" s="92">
        <v>7.67</v>
      </c>
      <c r="AH23" s="93">
        <f t="shared" si="6"/>
        <v>0.68056787932564333</v>
      </c>
      <c r="AI23" s="92">
        <v>12.8</v>
      </c>
      <c r="AJ23" s="92">
        <v>6</v>
      </c>
      <c r="AK23" s="93">
        <f t="shared" si="12"/>
        <v>0.46875</v>
      </c>
      <c r="AL23" s="92"/>
      <c r="AM23" s="92"/>
      <c r="AN23" s="93"/>
      <c r="AO23" s="92"/>
      <c r="AP23" s="92"/>
      <c r="AQ23" s="93"/>
      <c r="AR23" s="92"/>
      <c r="AS23" s="92"/>
      <c r="AT23" s="93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4">
        <v>928.45799999999986</v>
      </c>
      <c r="BH23" s="94">
        <v>1010.0699999999998</v>
      </c>
      <c r="BI23" s="80">
        <f t="shared" si="3"/>
        <v>1.0879005835482056</v>
      </c>
    </row>
    <row r="24" spans="1:61" ht="18" x14ac:dyDescent="0.35">
      <c r="A24" s="91" t="s">
        <v>46</v>
      </c>
      <c r="B24" s="92"/>
      <c r="C24" s="92"/>
      <c r="D24" s="92"/>
      <c r="E24" s="93">
        <v>15.637</v>
      </c>
      <c r="F24" s="93">
        <v>85.14</v>
      </c>
      <c r="G24" s="93">
        <f t="shared" si="0"/>
        <v>5.4447784101809811</v>
      </c>
      <c r="H24" s="92"/>
      <c r="I24" s="92"/>
      <c r="J24" s="93"/>
      <c r="K24" s="93">
        <v>5.17</v>
      </c>
      <c r="L24" s="93">
        <v>15.9</v>
      </c>
      <c r="M24" s="93">
        <f t="shared" si="2"/>
        <v>3.0754352030947776</v>
      </c>
      <c r="N24" s="92"/>
      <c r="O24" s="92"/>
      <c r="P24" s="93"/>
      <c r="Q24" s="92">
        <v>21.8</v>
      </c>
      <c r="R24" s="92">
        <v>5.23</v>
      </c>
      <c r="S24" s="92">
        <f t="shared" si="11"/>
        <v>0.23990825688073394</v>
      </c>
      <c r="T24" s="92"/>
      <c r="U24" s="92"/>
      <c r="V24" s="93"/>
      <c r="W24" s="92"/>
      <c r="X24" s="92"/>
      <c r="Y24" s="93"/>
      <c r="Z24" s="92"/>
      <c r="AA24" s="92"/>
      <c r="AB24" s="93"/>
      <c r="AC24" s="92"/>
      <c r="AD24" s="92"/>
      <c r="AE24" s="93"/>
      <c r="AF24" s="92"/>
      <c r="AG24" s="92"/>
      <c r="AH24" s="93"/>
      <c r="AI24" s="92"/>
      <c r="AJ24" s="92"/>
      <c r="AK24" s="93"/>
      <c r="AL24" s="92"/>
      <c r="AM24" s="92"/>
      <c r="AN24" s="93"/>
      <c r="AO24" s="92"/>
      <c r="AP24" s="92"/>
      <c r="AQ24" s="93"/>
      <c r="AR24" s="92"/>
      <c r="AS24" s="92"/>
      <c r="AT24" s="93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4">
        <v>42.606999999999999</v>
      </c>
      <c r="BH24" s="94">
        <v>106.27000000000001</v>
      </c>
      <c r="BI24" s="80">
        <f t="shared" si="3"/>
        <v>2.4941910953599176</v>
      </c>
    </row>
    <row r="25" spans="1:61" ht="18" x14ac:dyDescent="0.35">
      <c r="A25" s="91" t="s">
        <v>47</v>
      </c>
      <c r="B25" s="92">
        <v>5.6379999999999999</v>
      </c>
      <c r="C25" s="92">
        <v>1.246</v>
      </c>
      <c r="D25" s="92">
        <f t="shared" si="10"/>
        <v>0.22100035473572188</v>
      </c>
      <c r="E25" s="93">
        <v>0.309</v>
      </c>
      <c r="F25" s="93">
        <v>6.12</v>
      </c>
      <c r="G25" s="93">
        <f t="shared" si="0"/>
        <v>19.805825242718448</v>
      </c>
      <c r="H25" s="96">
        <v>46.87</v>
      </c>
      <c r="I25" s="96">
        <v>20.100000000000001</v>
      </c>
      <c r="J25" s="93">
        <f t="shared" si="1"/>
        <v>0.42884574354597826</v>
      </c>
      <c r="K25" s="96">
        <v>23.46</v>
      </c>
      <c r="L25" s="96">
        <v>79.84</v>
      </c>
      <c r="M25" s="93">
        <f t="shared" si="2"/>
        <v>3.4032395566922422</v>
      </c>
      <c r="N25" s="96">
        <v>1.67</v>
      </c>
      <c r="O25" s="96">
        <v>9.58</v>
      </c>
      <c r="P25" s="93">
        <f t="shared" si="5"/>
        <v>5.7365269461077846</v>
      </c>
      <c r="Q25" s="92">
        <v>3.82</v>
      </c>
      <c r="R25" s="92">
        <v>0.35</v>
      </c>
      <c r="S25" s="92">
        <f t="shared" si="11"/>
        <v>9.1623036649214659E-2</v>
      </c>
      <c r="T25" s="92">
        <v>6.59</v>
      </c>
      <c r="U25" s="92">
        <v>3.78</v>
      </c>
      <c r="V25" s="93">
        <f t="shared" si="4"/>
        <v>0.57359635811836118</v>
      </c>
      <c r="W25" s="92"/>
      <c r="X25" s="92"/>
      <c r="Y25" s="93"/>
      <c r="Z25" s="92"/>
      <c r="AA25" s="92"/>
      <c r="AB25" s="93"/>
      <c r="AC25" s="92"/>
      <c r="AD25" s="92"/>
      <c r="AE25" s="93"/>
      <c r="AF25" s="92"/>
      <c r="AG25" s="92"/>
      <c r="AH25" s="93"/>
      <c r="AI25" s="92"/>
      <c r="AJ25" s="92"/>
      <c r="AK25" s="93"/>
      <c r="AL25" s="92"/>
      <c r="AM25" s="92"/>
      <c r="AN25" s="93"/>
      <c r="AO25" s="92"/>
      <c r="AP25" s="92"/>
      <c r="AQ25" s="93"/>
      <c r="AR25" s="92">
        <v>1.02</v>
      </c>
      <c r="AS25" s="92">
        <v>0.99</v>
      </c>
      <c r="AT25" s="93">
        <f t="shared" si="17"/>
        <v>0.97058823529411764</v>
      </c>
      <c r="AU25" s="92">
        <v>15.5</v>
      </c>
      <c r="AV25" s="92">
        <v>48.59</v>
      </c>
      <c r="AW25" s="92">
        <f t="shared" si="13"/>
        <v>3.1348387096774197</v>
      </c>
      <c r="AX25" s="92"/>
      <c r="AY25" s="92"/>
      <c r="AZ25" s="92"/>
      <c r="BA25" s="92"/>
      <c r="BB25" s="92"/>
      <c r="BC25" s="92"/>
      <c r="BD25" s="92"/>
      <c r="BE25" s="92"/>
      <c r="BF25" s="92"/>
      <c r="BG25" s="94">
        <v>104.877</v>
      </c>
      <c r="BH25" s="94">
        <v>170.596</v>
      </c>
      <c r="BI25" s="80">
        <f t="shared" si="3"/>
        <v>1.6266292895487096</v>
      </c>
    </row>
    <row r="26" spans="1:61" ht="18" x14ac:dyDescent="0.35">
      <c r="A26" s="91" t="s">
        <v>56</v>
      </c>
      <c r="B26" s="92"/>
      <c r="C26" s="92"/>
      <c r="D26" s="92"/>
      <c r="E26" s="93">
        <v>1.623</v>
      </c>
      <c r="F26" s="93">
        <v>11.22</v>
      </c>
      <c r="G26" s="93">
        <f t="shared" si="0"/>
        <v>6.9131238447319783</v>
      </c>
      <c r="H26" s="93">
        <v>82.52</v>
      </c>
      <c r="I26" s="93">
        <v>369.02</v>
      </c>
      <c r="J26" s="93">
        <f t="shared" si="1"/>
        <v>4.4718856034900627</v>
      </c>
      <c r="K26" s="96">
        <v>53.1</v>
      </c>
      <c r="L26" s="96">
        <v>345.27</v>
      </c>
      <c r="M26" s="93">
        <f t="shared" si="2"/>
        <v>6.5022598870056489</v>
      </c>
      <c r="N26" s="93">
        <v>8.5999999999999993E-2</v>
      </c>
      <c r="O26" s="93">
        <v>0.22</v>
      </c>
      <c r="P26" s="93">
        <f t="shared" si="5"/>
        <v>2.558139534883721</v>
      </c>
      <c r="Q26" s="92"/>
      <c r="R26" s="92"/>
      <c r="S26" s="92"/>
      <c r="T26" s="93">
        <v>1.012</v>
      </c>
      <c r="U26" s="93">
        <v>1.01</v>
      </c>
      <c r="V26" s="93">
        <f t="shared" si="4"/>
        <v>0.99802371541501977</v>
      </c>
      <c r="W26" s="92"/>
      <c r="X26" s="92"/>
      <c r="Y26" s="93"/>
      <c r="Z26" s="92"/>
      <c r="AA26" s="92"/>
      <c r="AB26" s="93"/>
      <c r="AC26" s="92"/>
      <c r="AD26" s="92"/>
      <c r="AE26" s="93"/>
      <c r="AF26" s="93">
        <v>0.87</v>
      </c>
      <c r="AG26" s="93">
        <v>0.56000000000000005</v>
      </c>
      <c r="AH26" s="93">
        <f t="shared" si="6"/>
        <v>0.64367816091954033</v>
      </c>
      <c r="AI26" s="92"/>
      <c r="AJ26" s="92"/>
      <c r="AK26" s="93"/>
      <c r="AL26" s="92"/>
      <c r="AM26" s="92"/>
      <c r="AN26" s="93"/>
      <c r="AO26" s="92"/>
      <c r="AP26" s="92"/>
      <c r="AQ26" s="93"/>
      <c r="AR26" s="92"/>
      <c r="AS26" s="92"/>
      <c r="AT26" s="93"/>
      <c r="AU26" s="93">
        <v>2.04</v>
      </c>
      <c r="AV26" s="93">
        <v>12.99</v>
      </c>
      <c r="AW26" s="92">
        <f t="shared" si="13"/>
        <v>6.367647058823529</v>
      </c>
      <c r="AX26" s="92"/>
      <c r="AY26" s="92"/>
      <c r="AZ26" s="92"/>
      <c r="BA26" s="92"/>
      <c r="BB26" s="92"/>
      <c r="BC26" s="92"/>
      <c r="BD26" s="92"/>
      <c r="BE26" s="92"/>
      <c r="BF26" s="92"/>
      <c r="BG26" s="94">
        <v>141.251</v>
      </c>
      <c r="BH26" s="94">
        <v>740.29</v>
      </c>
      <c r="BI26" s="80">
        <f t="shared" si="3"/>
        <v>5.2409540463430346</v>
      </c>
    </row>
    <row r="27" spans="1:61" ht="18" x14ac:dyDescent="0.35">
      <c r="A27" s="91" t="s">
        <v>48</v>
      </c>
      <c r="B27" s="92">
        <v>0.28999999999999998</v>
      </c>
      <c r="C27" s="92">
        <v>0.3</v>
      </c>
      <c r="D27" s="92">
        <f t="shared" si="10"/>
        <v>1.0344827586206897</v>
      </c>
      <c r="E27" s="93">
        <v>1.855</v>
      </c>
      <c r="F27" s="93">
        <v>15.58</v>
      </c>
      <c r="G27" s="93">
        <f t="shared" si="0"/>
        <v>8.3989218328840973</v>
      </c>
      <c r="H27" s="96">
        <v>2.8</v>
      </c>
      <c r="I27" s="96">
        <v>6.38</v>
      </c>
      <c r="J27" s="93">
        <f t="shared" si="1"/>
        <v>2.2785714285714285</v>
      </c>
      <c r="K27" s="96">
        <v>1.66</v>
      </c>
      <c r="L27" s="96">
        <v>2.02</v>
      </c>
      <c r="M27" s="93">
        <f t="shared" si="2"/>
        <v>1.2168674698795181</v>
      </c>
      <c r="N27" s="93"/>
      <c r="O27" s="93"/>
      <c r="P27" s="93"/>
      <c r="Q27" s="92"/>
      <c r="R27" s="92"/>
      <c r="S27" s="92"/>
      <c r="T27" s="93"/>
      <c r="U27" s="93"/>
      <c r="V27" s="93"/>
      <c r="W27" s="92"/>
      <c r="X27" s="92"/>
      <c r="Y27" s="93"/>
      <c r="Z27" s="92"/>
      <c r="AA27" s="92"/>
      <c r="AB27" s="93"/>
      <c r="AC27" s="92"/>
      <c r="AD27" s="92"/>
      <c r="AE27" s="93"/>
      <c r="AF27" s="92"/>
      <c r="AG27" s="92"/>
      <c r="AH27" s="93"/>
      <c r="AI27" s="92"/>
      <c r="AJ27" s="92"/>
      <c r="AK27" s="93"/>
      <c r="AL27" s="92"/>
      <c r="AM27" s="92"/>
      <c r="AN27" s="93"/>
      <c r="AO27" s="92"/>
      <c r="AP27" s="92"/>
      <c r="AQ27" s="93"/>
      <c r="AR27" s="92"/>
      <c r="AS27" s="92"/>
      <c r="AT27" s="93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4">
        <v>6.6050000000000004</v>
      </c>
      <c r="BH27" s="94">
        <v>24.28</v>
      </c>
      <c r="BI27" s="80">
        <f t="shared" si="3"/>
        <v>3.6760030280090841</v>
      </c>
    </row>
    <row r="28" spans="1:61" ht="18" x14ac:dyDescent="0.35">
      <c r="A28" s="91" t="s">
        <v>49</v>
      </c>
      <c r="B28" s="92"/>
      <c r="C28" s="92"/>
      <c r="D28" s="92"/>
      <c r="E28" s="93">
        <v>0.88400000000000001</v>
      </c>
      <c r="F28" s="93">
        <v>4.5490000000000004</v>
      </c>
      <c r="G28" s="93">
        <f t="shared" si="0"/>
        <v>5.1459276018099551</v>
      </c>
      <c r="H28" s="93">
        <v>29.530999999999999</v>
      </c>
      <c r="I28" s="93">
        <v>23.95</v>
      </c>
      <c r="J28" s="93">
        <f t="shared" si="1"/>
        <v>0.8110121567166706</v>
      </c>
      <c r="K28" s="93">
        <v>1.948</v>
      </c>
      <c r="L28" s="93">
        <v>5.6509999999999998</v>
      </c>
      <c r="M28" s="93">
        <f t="shared" si="2"/>
        <v>2.9009240246406569</v>
      </c>
      <c r="N28" s="93">
        <v>38.512999999999998</v>
      </c>
      <c r="O28" s="93">
        <v>225.69</v>
      </c>
      <c r="P28" s="93">
        <f t="shared" si="5"/>
        <v>5.8600991872874095</v>
      </c>
      <c r="Q28" s="92"/>
      <c r="R28" s="92"/>
      <c r="S28" s="92"/>
      <c r="T28" s="93">
        <v>7.1849999999999996</v>
      </c>
      <c r="U28" s="93">
        <v>3.94</v>
      </c>
      <c r="V28" s="93">
        <f t="shared" si="4"/>
        <v>0.54836464857341682</v>
      </c>
      <c r="W28" s="93">
        <v>2E-3</v>
      </c>
      <c r="X28" s="93">
        <v>0.01</v>
      </c>
      <c r="Y28" s="93">
        <f t="shared" si="9"/>
        <v>5</v>
      </c>
      <c r="Z28" s="93">
        <v>0.78600000000000003</v>
      </c>
      <c r="AA28" s="93">
        <v>0.73</v>
      </c>
      <c r="AB28" s="93">
        <f t="shared" si="7"/>
        <v>0.92875318066157753</v>
      </c>
      <c r="AC28" s="93">
        <v>0.42499999999999999</v>
      </c>
      <c r="AD28" s="93">
        <v>0.24</v>
      </c>
      <c r="AE28" s="93">
        <f t="shared" si="8"/>
        <v>0.56470588235294117</v>
      </c>
      <c r="AF28" s="92"/>
      <c r="AG28" s="92"/>
      <c r="AH28" s="93"/>
      <c r="AI28" s="92"/>
      <c r="AJ28" s="92"/>
      <c r="AK28" s="93"/>
      <c r="AL28" s="92"/>
      <c r="AM28" s="92"/>
      <c r="AN28" s="93"/>
      <c r="AO28" s="92"/>
      <c r="AP28" s="92"/>
      <c r="AQ28" s="93"/>
      <c r="AR28" s="92"/>
      <c r="AS28" s="92"/>
      <c r="AT28" s="93"/>
      <c r="AU28" s="92"/>
      <c r="AV28" s="92"/>
      <c r="AW28" s="92"/>
      <c r="AX28" s="92"/>
      <c r="AY28" s="92"/>
      <c r="AZ28" s="92"/>
      <c r="BA28" s="92"/>
      <c r="BB28" s="92"/>
      <c r="BC28" s="92"/>
      <c r="BD28" s="93">
        <v>333.9</v>
      </c>
      <c r="BE28" s="93">
        <v>34.049999999999997</v>
      </c>
      <c r="BF28" s="93">
        <f>BE28/BD28</f>
        <v>0.10197663971248877</v>
      </c>
      <c r="BG28" s="94">
        <v>413.17399999999998</v>
      </c>
      <c r="BH28" s="94">
        <v>298.81</v>
      </c>
      <c r="BI28" s="80">
        <f t="shared" si="3"/>
        <v>0.72320620368174182</v>
      </c>
    </row>
    <row r="29" spans="1:61" ht="18" x14ac:dyDescent="0.35">
      <c r="A29" s="91" t="s">
        <v>50</v>
      </c>
      <c r="B29" s="92"/>
      <c r="C29" s="92"/>
      <c r="D29" s="92"/>
      <c r="E29" s="93">
        <v>4.9109999999999996</v>
      </c>
      <c r="F29" s="93">
        <v>48.468000000000004</v>
      </c>
      <c r="G29" s="93">
        <f t="shared" si="0"/>
        <v>9.8692730604764822</v>
      </c>
      <c r="H29" s="93">
        <v>2.8029999999999999</v>
      </c>
      <c r="I29" s="93">
        <v>9.4700000000000006</v>
      </c>
      <c r="J29" s="93">
        <f t="shared" si="1"/>
        <v>3.3785230110595794</v>
      </c>
      <c r="K29" s="93">
        <v>1.722</v>
      </c>
      <c r="L29" s="93">
        <v>2.84</v>
      </c>
      <c r="M29" s="93">
        <f t="shared" si="2"/>
        <v>1.6492450638792102</v>
      </c>
      <c r="N29" s="93">
        <v>1.9970000000000001</v>
      </c>
      <c r="O29" s="93">
        <v>11.05</v>
      </c>
      <c r="P29" s="93">
        <f t="shared" si="5"/>
        <v>5.5332999499248876</v>
      </c>
      <c r="Q29" s="92"/>
      <c r="R29" s="92"/>
      <c r="S29" s="92"/>
      <c r="T29" s="93">
        <v>1.4339999999999999</v>
      </c>
      <c r="U29" s="93">
        <v>4.0599999999999996</v>
      </c>
      <c r="V29" s="93">
        <f t="shared" si="4"/>
        <v>2.831241283124128</v>
      </c>
      <c r="W29" s="93"/>
      <c r="X29" s="93"/>
      <c r="Y29" s="93"/>
      <c r="Z29" s="93"/>
      <c r="AA29" s="93"/>
      <c r="AB29" s="93"/>
      <c r="AC29" s="93">
        <v>0.66100000000000003</v>
      </c>
      <c r="AD29" s="93">
        <v>3.7</v>
      </c>
      <c r="AE29" s="93">
        <f t="shared" si="8"/>
        <v>5.5975794251134641</v>
      </c>
      <c r="AF29" s="92"/>
      <c r="AG29" s="92"/>
      <c r="AH29" s="93"/>
      <c r="AI29" s="92"/>
      <c r="AJ29" s="92"/>
      <c r="AK29" s="93"/>
      <c r="AL29" s="92"/>
      <c r="AM29" s="92"/>
      <c r="AN29" s="93"/>
      <c r="AO29" s="92"/>
      <c r="AP29" s="92"/>
      <c r="AQ29" s="93"/>
      <c r="AR29" s="92"/>
      <c r="AS29" s="92"/>
      <c r="AT29" s="93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3"/>
      <c r="BG29" s="94">
        <v>13.527999999999999</v>
      </c>
      <c r="BH29" s="94">
        <v>79.588000000000008</v>
      </c>
      <c r="BI29" s="80">
        <f t="shared" si="3"/>
        <v>5.8832052040212908</v>
      </c>
    </row>
    <row r="30" spans="1:61" ht="18" x14ac:dyDescent="0.35">
      <c r="A30" s="91" t="s">
        <v>51</v>
      </c>
      <c r="B30" s="92">
        <v>0.32</v>
      </c>
      <c r="C30" s="92">
        <v>0.55000000000000004</v>
      </c>
      <c r="D30" s="92">
        <f t="shared" si="10"/>
        <v>1.71875</v>
      </c>
      <c r="E30" s="93">
        <v>12.417999999999999</v>
      </c>
      <c r="F30" s="93">
        <v>135.56</v>
      </c>
      <c r="G30" s="93">
        <f t="shared" si="0"/>
        <v>10.916411660492834</v>
      </c>
      <c r="H30" s="93">
        <v>65.552000000000007</v>
      </c>
      <c r="I30" s="93">
        <v>105.75</v>
      </c>
      <c r="J30" s="93">
        <f t="shared" si="1"/>
        <v>1.6132230900659017</v>
      </c>
      <c r="K30" s="93">
        <v>17.747</v>
      </c>
      <c r="L30" s="93">
        <v>45.46</v>
      </c>
      <c r="M30" s="93">
        <f t="shared" si="2"/>
        <v>2.5615597002310251</v>
      </c>
      <c r="N30" s="93">
        <v>3.88</v>
      </c>
      <c r="O30" s="93">
        <v>37.07</v>
      </c>
      <c r="P30" s="93">
        <f t="shared" si="5"/>
        <v>9.5541237113402069</v>
      </c>
      <c r="Q30" s="92">
        <v>3.31</v>
      </c>
      <c r="R30" s="92">
        <v>1.07</v>
      </c>
      <c r="S30" s="92">
        <f t="shared" si="11"/>
        <v>0.32326283987915411</v>
      </c>
      <c r="T30" s="93">
        <v>11.803000000000001</v>
      </c>
      <c r="U30" s="93">
        <v>15.06</v>
      </c>
      <c r="V30" s="93">
        <f t="shared" si="4"/>
        <v>1.2759467931881725</v>
      </c>
      <c r="W30" s="93">
        <v>0.34699999999999998</v>
      </c>
      <c r="X30" s="93">
        <v>0.39</v>
      </c>
      <c r="Y30" s="93">
        <f t="shared" si="9"/>
        <v>1.1239193083573489</v>
      </c>
      <c r="Z30" s="93">
        <v>0.79200000000000004</v>
      </c>
      <c r="AA30" s="93">
        <v>0.81</v>
      </c>
      <c r="AB30" s="93">
        <f t="shared" si="7"/>
        <v>1.0227272727272727</v>
      </c>
      <c r="AC30" s="93">
        <v>2.4500000000000002</v>
      </c>
      <c r="AD30" s="93">
        <v>2.75</v>
      </c>
      <c r="AE30" s="93">
        <f t="shared" si="8"/>
        <v>1.1224489795918366</v>
      </c>
      <c r="AF30" s="92"/>
      <c r="AG30" s="92"/>
      <c r="AH30" s="93"/>
      <c r="AI30" s="93">
        <v>1.276</v>
      </c>
      <c r="AJ30" s="93">
        <v>1.67</v>
      </c>
      <c r="AK30" s="93">
        <f t="shared" si="12"/>
        <v>1.3087774294670846</v>
      </c>
      <c r="AL30" s="92"/>
      <c r="AM30" s="92"/>
      <c r="AN30" s="93"/>
      <c r="AO30" s="92"/>
      <c r="AP30" s="92"/>
      <c r="AQ30" s="93"/>
      <c r="AR30" s="92"/>
      <c r="AS30" s="92"/>
      <c r="AT30" s="93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3"/>
      <c r="BG30" s="94">
        <v>119.895</v>
      </c>
      <c r="BH30" s="94">
        <v>346.14</v>
      </c>
      <c r="BI30" s="80">
        <f t="shared" si="3"/>
        <v>2.8870261478793946</v>
      </c>
    </row>
    <row r="31" spans="1:61" ht="18" x14ac:dyDescent="0.35">
      <c r="A31" s="91" t="s">
        <v>75</v>
      </c>
      <c r="B31" s="92">
        <v>1.26</v>
      </c>
      <c r="C31" s="92">
        <v>0.43</v>
      </c>
      <c r="D31" s="92">
        <f t="shared" si="10"/>
        <v>0.34126984126984128</v>
      </c>
      <c r="E31" s="92">
        <v>0.16300000000000001</v>
      </c>
      <c r="F31" s="92">
        <v>1.9</v>
      </c>
      <c r="G31" s="93">
        <f t="shared" si="0"/>
        <v>11.656441717791409</v>
      </c>
      <c r="H31" s="92">
        <v>7.1000000000000008E-2</v>
      </c>
      <c r="I31" s="92">
        <v>0.39</v>
      </c>
      <c r="J31" s="93">
        <f t="shared" si="1"/>
        <v>5.492957746478873</v>
      </c>
      <c r="K31" s="92">
        <v>0.12300000000000001</v>
      </c>
      <c r="L31" s="92">
        <v>0.23799999999999999</v>
      </c>
      <c r="M31" s="93">
        <f t="shared" si="2"/>
        <v>1.9349593495934956</v>
      </c>
      <c r="N31" s="92">
        <v>0</v>
      </c>
      <c r="O31" s="92">
        <v>0</v>
      </c>
      <c r="P31" s="93"/>
      <c r="Q31" s="92">
        <v>0</v>
      </c>
      <c r="R31" s="92">
        <v>0</v>
      </c>
      <c r="S31" s="92"/>
      <c r="T31" s="92">
        <v>0</v>
      </c>
      <c r="U31" s="92">
        <v>0</v>
      </c>
      <c r="V31" s="93"/>
      <c r="W31" s="92">
        <v>0</v>
      </c>
      <c r="X31" s="92">
        <v>0</v>
      </c>
      <c r="Y31" s="93"/>
      <c r="Z31" s="92">
        <v>0</v>
      </c>
      <c r="AA31" s="92">
        <v>0</v>
      </c>
      <c r="AB31" s="93"/>
      <c r="AC31" s="92">
        <v>0</v>
      </c>
      <c r="AD31" s="92">
        <v>0</v>
      </c>
      <c r="AE31" s="93"/>
      <c r="AF31" s="92">
        <v>0</v>
      </c>
      <c r="AG31" s="92">
        <v>0</v>
      </c>
      <c r="AH31" s="93"/>
      <c r="AI31" s="92">
        <v>0</v>
      </c>
      <c r="AJ31" s="92">
        <v>0</v>
      </c>
      <c r="AK31" s="93"/>
      <c r="AL31" s="92">
        <v>0.10199999999999999</v>
      </c>
      <c r="AM31" s="92">
        <v>0.05</v>
      </c>
      <c r="AN31" s="93">
        <f t="shared" si="15"/>
        <v>0.49019607843137258</v>
      </c>
      <c r="AO31" s="92">
        <v>0.25700000000000001</v>
      </c>
      <c r="AP31" s="92">
        <v>0.11</v>
      </c>
      <c r="AQ31" s="93">
        <f t="shared" si="16"/>
        <v>0.42801556420233461</v>
      </c>
      <c r="AR31" s="92">
        <v>5.0999999999999997E-2</v>
      </c>
      <c r="AS31" s="92">
        <v>0.01</v>
      </c>
      <c r="AT31" s="93">
        <f t="shared" si="17"/>
        <v>0.19607843137254904</v>
      </c>
      <c r="AU31" s="92">
        <v>5.7000000000000002E-2</v>
      </c>
      <c r="AV31" s="92">
        <v>0.3</v>
      </c>
      <c r="AW31" s="92">
        <f t="shared" si="13"/>
        <v>5.2631578947368416</v>
      </c>
      <c r="AX31" s="92">
        <v>0</v>
      </c>
      <c r="AY31" s="92">
        <v>0</v>
      </c>
      <c r="AZ31" s="92"/>
      <c r="BA31" s="92"/>
      <c r="BB31" s="92"/>
      <c r="BC31" s="92"/>
      <c r="BD31" s="92">
        <v>0</v>
      </c>
      <c r="BE31" s="92">
        <v>0</v>
      </c>
      <c r="BF31" s="93"/>
      <c r="BG31" s="94">
        <v>2.0840000000000001</v>
      </c>
      <c r="BH31" s="94">
        <v>3.4279999999999995</v>
      </c>
      <c r="BI31" s="80">
        <f t="shared" si="3"/>
        <v>1.6449136276391552</v>
      </c>
    </row>
    <row r="32" spans="1:61" ht="17.399999999999999" x14ac:dyDescent="0.3">
      <c r="A32" s="91" t="s">
        <v>52</v>
      </c>
      <c r="B32" s="129">
        <v>244.59699999999998</v>
      </c>
      <c r="C32" s="184">
        <v>137.39800000000002</v>
      </c>
      <c r="D32" s="98">
        <f t="shared" si="10"/>
        <v>0.56173215534123488</v>
      </c>
      <c r="E32" s="129">
        <v>164.12899999999999</v>
      </c>
      <c r="F32" s="118">
        <v>1788.2090000000001</v>
      </c>
      <c r="G32" s="137">
        <f t="shared" si="0"/>
        <v>10.895143454234171</v>
      </c>
      <c r="H32" s="129">
        <v>780.37199999999996</v>
      </c>
      <c r="I32" s="118">
        <v>1743.306</v>
      </c>
      <c r="J32" s="99">
        <f t="shared" si="1"/>
        <v>2.2339422736848582</v>
      </c>
      <c r="K32" s="129">
        <v>252.98399999999998</v>
      </c>
      <c r="L32" s="118">
        <v>960.72500000000002</v>
      </c>
      <c r="M32" s="137">
        <f t="shared" si="2"/>
        <v>3.7975721784776906</v>
      </c>
      <c r="N32" s="129">
        <v>357.95800000000003</v>
      </c>
      <c r="O32" s="118">
        <v>2909.8980000000001</v>
      </c>
      <c r="P32" s="137">
        <f t="shared" si="5"/>
        <v>8.1291604042932413</v>
      </c>
      <c r="Q32" s="194">
        <v>81.11</v>
      </c>
      <c r="R32" s="204">
        <f>SUM(R4:R31)</f>
        <v>22.57</v>
      </c>
      <c r="S32" s="98">
        <f>R32/Q32</f>
        <v>0.27826408580939466</v>
      </c>
      <c r="T32" s="129">
        <v>470.15800000000002</v>
      </c>
      <c r="U32" s="118">
        <v>592.45499999999993</v>
      </c>
      <c r="V32" s="99">
        <f t="shared" si="4"/>
        <v>1.2601189387397427</v>
      </c>
      <c r="W32" s="129">
        <v>1026.712</v>
      </c>
      <c r="X32" s="118">
        <v>699.44999999999993</v>
      </c>
      <c r="Y32" s="99">
        <f t="shared" si="9"/>
        <v>0.681252386258269</v>
      </c>
      <c r="Z32" s="194">
        <v>90.239000000000004</v>
      </c>
      <c r="AA32" s="184">
        <v>157.05000000000001</v>
      </c>
      <c r="AB32" s="99">
        <f t="shared" si="7"/>
        <v>1.740378328660557</v>
      </c>
      <c r="AC32" s="194">
        <v>122.22</v>
      </c>
      <c r="AD32" s="184">
        <v>191.75</v>
      </c>
      <c r="AE32" s="99">
        <f t="shared" si="8"/>
        <v>1.5688921616756668</v>
      </c>
      <c r="AF32" s="194">
        <v>34.909999999999997</v>
      </c>
      <c r="AG32" s="184">
        <v>22.4</v>
      </c>
      <c r="AH32" s="99">
        <f t="shared" si="6"/>
        <v>0.64164995703236893</v>
      </c>
      <c r="AI32" s="214">
        <v>29.789000000000001</v>
      </c>
      <c r="AJ32" s="184">
        <v>29.61</v>
      </c>
      <c r="AK32" s="99">
        <f t="shared" si="12"/>
        <v>0.99399107052938995</v>
      </c>
      <c r="AL32" s="214">
        <v>2.2789999999999995</v>
      </c>
      <c r="AM32" s="204">
        <v>5.1099999999999994</v>
      </c>
      <c r="AN32" s="137">
        <f t="shared" si="15"/>
        <v>2.2422114962702944</v>
      </c>
      <c r="AO32" s="214">
        <v>23.840000000000003</v>
      </c>
      <c r="AP32" s="204">
        <v>15.469999999999999</v>
      </c>
      <c r="AQ32" s="99">
        <f t="shared" si="16"/>
        <v>0.64890939597315422</v>
      </c>
      <c r="AR32" s="214">
        <v>2.3310000000000004</v>
      </c>
      <c r="AS32" s="204">
        <v>1.23</v>
      </c>
      <c r="AT32" s="99">
        <f t="shared" si="17"/>
        <v>0.52767052767052758</v>
      </c>
      <c r="AU32" s="194">
        <v>45.688000000000002</v>
      </c>
      <c r="AV32" s="118">
        <v>188.92000000000002</v>
      </c>
      <c r="AW32" s="138">
        <f t="shared" si="13"/>
        <v>4.1350026265102438</v>
      </c>
      <c r="AX32" s="98">
        <v>3.45</v>
      </c>
      <c r="AY32" s="98">
        <v>4.0000000000000001E-3</v>
      </c>
      <c r="AZ32" s="98">
        <f>AY32/AX32</f>
        <v>1.1594202898550724E-3</v>
      </c>
      <c r="BA32" s="98">
        <v>0.36</v>
      </c>
      <c r="BB32" s="204">
        <v>0.14000000000000001</v>
      </c>
      <c r="BC32" s="98">
        <f t="shared" si="14"/>
        <v>0.38888888888888895</v>
      </c>
      <c r="BD32" s="214">
        <v>333.9</v>
      </c>
      <c r="BE32" s="204">
        <v>34.049999999999997</v>
      </c>
      <c r="BF32" s="99">
        <f t="shared" ref="BF32" si="18">BE32/BD32</f>
        <v>0.10197663971248877</v>
      </c>
      <c r="BG32" s="98">
        <v>4067.0259999999998</v>
      </c>
      <c r="BH32" s="98">
        <v>9499.7450000000008</v>
      </c>
      <c r="BI32" s="80">
        <f t="shared" si="3"/>
        <v>2.3357964763441399</v>
      </c>
    </row>
    <row r="34" spans="51:51" x14ac:dyDescent="0.3">
      <c r="AY34" s="208">
        <f>BA32+AX32</f>
        <v>3.81</v>
      </c>
    </row>
  </sheetData>
  <mergeCells count="20">
    <mergeCell ref="BD1:BE1"/>
    <mergeCell ref="BG1:BH1"/>
    <mergeCell ref="AL1:AM1"/>
    <mergeCell ref="AO1:AP1"/>
    <mergeCell ref="AR1:AS1"/>
    <mergeCell ref="AU1:AV1"/>
    <mergeCell ref="AX1:AY1"/>
    <mergeCell ref="BA1:BB1"/>
    <mergeCell ref="AI1:AJ1"/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414C-B338-4270-82B3-C846EA41E87D}">
  <dimension ref="A1:BI34"/>
  <sheetViews>
    <sheetView topLeftCell="AI19" workbookViewId="0">
      <selection activeCell="BD32" sqref="BD32"/>
    </sheetView>
  </sheetViews>
  <sheetFormatPr defaultRowHeight="14.4" x14ac:dyDescent="0.3"/>
  <cols>
    <col min="1" max="1" width="31.109375" bestFit="1" customWidth="1"/>
    <col min="2" max="3" width="10.109375" bestFit="1" customWidth="1"/>
    <col min="5" max="5" width="10.109375" bestFit="1" customWidth="1"/>
    <col min="6" max="6" width="12.109375" bestFit="1" customWidth="1"/>
    <col min="8" max="8" width="10.109375" bestFit="1" customWidth="1"/>
    <col min="9" max="9" width="12.109375" bestFit="1" customWidth="1"/>
    <col min="11" max="11" width="10.109375" bestFit="1" customWidth="1"/>
    <col min="12" max="12" width="12.109375" bestFit="1" customWidth="1"/>
    <col min="14" max="14" width="10.109375" bestFit="1" customWidth="1"/>
    <col min="15" max="15" width="12.109375" bestFit="1" customWidth="1"/>
    <col min="20" max="21" width="10.109375" bestFit="1" customWidth="1"/>
    <col min="23" max="23" width="12.109375" bestFit="1" customWidth="1"/>
    <col min="24" max="24" width="10.109375" bestFit="1" customWidth="1"/>
    <col min="27" max="27" width="10.109375" bestFit="1" customWidth="1"/>
    <col min="29" max="30" width="10.109375" bestFit="1" customWidth="1"/>
    <col min="48" max="48" width="10.109375" bestFit="1" customWidth="1"/>
    <col min="56" max="56" width="10.109375" bestFit="1" customWidth="1"/>
    <col min="59" max="59" width="12.109375" bestFit="1" customWidth="1"/>
    <col min="60" max="60" width="13.5546875" bestFit="1" customWidth="1"/>
  </cols>
  <sheetData>
    <row r="1" spans="1:61" ht="17.399999999999999" x14ac:dyDescent="0.3">
      <c r="A1" s="85" t="s">
        <v>54</v>
      </c>
      <c r="B1" s="249" t="s">
        <v>58</v>
      </c>
      <c r="C1" s="249"/>
      <c r="D1" s="85"/>
      <c r="E1" s="249" t="s">
        <v>59</v>
      </c>
      <c r="F1" s="249"/>
      <c r="G1" s="85"/>
      <c r="H1" s="249" t="s">
        <v>60</v>
      </c>
      <c r="I1" s="249"/>
      <c r="J1" s="85"/>
      <c r="K1" s="249" t="s">
        <v>61</v>
      </c>
      <c r="L1" s="249"/>
      <c r="M1" s="85"/>
      <c r="N1" s="249" t="s">
        <v>62</v>
      </c>
      <c r="O1" s="249"/>
      <c r="P1" s="85"/>
      <c r="Q1" s="249" t="s">
        <v>63</v>
      </c>
      <c r="R1" s="249"/>
      <c r="S1" s="85"/>
      <c r="T1" s="249" t="s">
        <v>64</v>
      </c>
      <c r="U1" s="249"/>
      <c r="V1" s="85"/>
      <c r="W1" s="249" t="s">
        <v>65</v>
      </c>
      <c r="X1" s="249"/>
      <c r="Y1" s="85"/>
      <c r="Z1" s="249" t="s">
        <v>66</v>
      </c>
      <c r="AA1" s="249"/>
      <c r="AB1" s="85"/>
      <c r="AC1" s="249" t="s">
        <v>67</v>
      </c>
      <c r="AD1" s="249"/>
      <c r="AE1" s="85"/>
      <c r="AF1" s="249" t="s">
        <v>68</v>
      </c>
      <c r="AG1" s="249"/>
      <c r="AH1" s="85"/>
      <c r="AI1" s="248" t="s">
        <v>77</v>
      </c>
      <c r="AJ1" s="248"/>
      <c r="AK1" s="86"/>
      <c r="AL1" s="248" t="s">
        <v>70</v>
      </c>
      <c r="AM1" s="248"/>
      <c r="AN1" s="86"/>
      <c r="AO1" s="249" t="s">
        <v>71</v>
      </c>
      <c r="AP1" s="249"/>
      <c r="AQ1" s="85"/>
      <c r="AR1" s="249" t="s">
        <v>72</v>
      </c>
      <c r="AS1" s="249"/>
      <c r="AT1" s="85"/>
      <c r="AU1" s="249" t="s">
        <v>73</v>
      </c>
      <c r="AV1" s="249"/>
      <c r="AW1" s="87"/>
      <c r="AX1" s="250" t="s">
        <v>81</v>
      </c>
      <c r="AY1" s="251"/>
      <c r="AZ1" s="89"/>
      <c r="BA1" s="250" t="s">
        <v>82</v>
      </c>
      <c r="BB1" s="251"/>
      <c r="BC1" s="89"/>
      <c r="BD1" s="250" t="s">
        <v>80</v>
      </c>
      <c r="BE1" s="251"/>
      <c r="BF1" s="88"/>
      <c r="BG1" s="252" t="s">
        <v>52</v>
      </c>
      <c r="BH1" s="252"/>
      <c r="BI1" s="9"/>
    </row>
    <row r="2" spans="1:61" ht="17.399999999999999" x14ac:dyDescent="0.3">
      <c r="A2" s="85"/>
      <c r="B2" s="85" t="s">
        <v>19</v>
      </c>
      <c r="C2" s="85" t="s">
        <v>20</v>
      </c>
      <c r="D2" s="85" t="s">
        <v>21</v>
      </c>
      <c r="E2" s="85" t="s">
        <v>19</v>
      </c>
      <c r="F2" s="85" t="s">
        <v>20</v>
      </c>
      <c r="G2" s="85" t="s">
        <v>21</v>
      </c>
      <c r="H2" s="85" t="s">
        <v>19</v>
      </c>
      <c r="I2" s="85" t="s">
        <v>20</v>
      </c>
      <c r="J2" s="85" t="s">
        <v>21</v>
      </c>
      <c r="K2" s="85" t="s">
        <v>19</v>
      </c>
      <c r="L2" s="85" t="s">
        <v>20</v>
      </c>
      <c r="M2" s="85" t="s">
        <v>21</v>
      </c>
      <c r="N2" s="85" t="s">
        <v>19</v>
      </c>
      <c r="O2" s="85" t="s">
        <v>20</v>
      </c>
      <c r="P2" s="85" t="s">
        <v>21</v>
      </c>
      <c r="Q2" s="85" t="s">
        <v>19</v>
      </c>
      <c r="R2" s="85" t="s">
        <v>20</v>
      </c>
      <c r="S2" s="85" t="s">
        <v>21</v>
      </c>
      <c r="T2" s="85" t="s">
        <v>19</v>
      </c>
      <c r="U2" s="85" t="s">
        <v>20</v>
      </c>
      <c r="V2" s="85" t="s">
        <v>21</v>
      </c>
      <c r="W2" s="85" t="s">
        <v>19</v>
      </c>
      <c r="X2" s="85" t="s">
        <v>20</v>
      </c>
      <c r="Y2" s="85" t="s">
        <v>21</v>
      </c>
      <c r="Z2" s="85" t="s">
        <v>19</v>
      </c>
      <c r="AA2" s="85" t="s">
        <v>20</v>
      </c>
      <c r="AB2" s="85" t="s">
        <v>21</v>
      </c>
      <c r="AC2" s="85" t="s">
        <v>19</v>
      </c>
      <c r="AD2" s="85" t="s">
        <v>20</v>
      </c>
      <c r="AE2" s="85" t="s">
        <v>21</v>
      </c>
      <c r="AF2" s="85" t="s">
        <v>19</v>
      </c>
      <c r="AG2" s="85" t="s">
        <v>20</v>
      </c>
      <c r="AH2" s="85" t="s">
        <v>21</v>
      </c>
      <c r="AI2" s="85" t="s">
        <v>19</v>
      </c>
      <c r="AJ2" s="85" t="s">
        <v>20</v>
      </c>
      <c r="AK2" s="85" t="s">
        <v>21</v>
      </c>
      <c r="AL2" s="85" t="s">
        <v>19</v>
      </c>
      <c r="AM2" s="85" t="s">
        <v>20</v>
      </c>
      <c r="AN2" s="85" t="s">
        <v>21</v>
      </c>
      <c r="AO2" s="85" t="s">
        <v>19</v>
      </c>
      <c r="AP2" s="85" t="s">
        <v>20</v>
      </c>
      <c r="AQ2" s="85" t="s">
        <v>21</v>
      </c>
      <c r="AR2" s="85" t="s">
        <v>19</v>
      </c>
      <c r="AS2" s="85" t="s">
        <v>20</v>
      </c>
      <c r="AT2" s="85" t="s">
        <v>21</v>
      </c>
      <c r="AU2" s="85" t="s">
        <v>19</v>
      </c>
      <c r="AV2" s="85" t="s">
        <v>20</v>
      </c>
      <c r="AW2" s="85" t="s">
        <v>21</v>
      </c>
      <c r="AX2" s="90" t="s">
        <v>19</v>
      </c>
      <c r="AY2" s="90" t="s">
        <v>20</v>
      </c>
      <c r="AZ2" s="90" t="s">
        <v>21</v>
      </c>
      <c r="BA2" s="90" t="s">
        <v>19</v>
      </c>
      <c r="BB2" s="90" t="s">
        <v>20</v>
      </c>
      <c r="BC2" s="90" t="s">
        <v>21</v>
      </c>
      <c r="BD2" s="90" t="s">
        <v>19</v>
      </c>
      <c r="BE2" s="90" t="s">
        <v>20</v>
      </c>
      <c r="BF2" s="90" t="s">
        <v>21</v>
      </c>
      <c r="BG2" s="90" t="s">
        <v>19</v>
      </c>
      <c r="BH2" s="90" t="s">
        <v>20</v>
      </c>
      <c r="BI2" s="90" t="s">
        <v>21</v>
      </c>
    </row>
    <row r="3" spans="1:61" ht="18" x14ac:dyDescent="0.35">
      <c r="A3" s="91" t="s">
        <v>23</v>
      </c>
      <c r="B3" s="100">
        <v>0.432</v>
      </c>
      <c r="C3" s="100">
        <v>0.25</v>
      </c>
      <c r="D3" s="100">
        <f>C3/B3</f>
        <v>0.57870370370370372</v>
      </c>
      <c r="E3" s="101">
        <v>0.29399999999999998</v>
      </c>
      <c r="F3" s="101">
        <v>2.9295</v>
      </c>
      <c r="G3" s="101">
        <f>F3/E3</f>
        <v>9.9642857142857153</v>
      </c>
      <c r="H3" s="101">
        <v>153.08199999999999</v>
      </c>
      <c r="I3" s="101">
        <v>805.02599999999995</v>
      </c>
      <c r="J3" s="101">
        <f>I3/H3</f>
        <v>5.2587894069844916</v>
      </c>
      <c r="K3" s="101">
        <v>29.716999999999999</v>
      </c>
      <c r="L3" s="101">
        <v>71.320800000000006</v>
      </c>
      <c r="M3" s="101">
        <f>L3/K3</f>
        <v>2.4000000000000004</v>
      </c>
      <c r="N3" s="101"/>
      <c r="O3" s="101"/>
      <c r="P3" s="101"/>
      <c r="Q3" s="102"/>
      <c r="R3" s="102"/>
      <c r="S3" s="102"/>
      <c r="T3" s="103">
        <v>1.119</v>
      </c>
      <c r="U3" s="103">
        <v>0.55300000000000005</v>
      </c>
      <c r="V3" s="103">
        <f>U3/T3</f>
        <v>0.49419124218051835</v>
      </c>
      <c r="W3" s="102"/>
      <c r="X3" s="102"/>
      <c r="Y3" s="102"/>
      <c r="Z3" s="102"/>
      <c r="AA3" s="102"/>
      <c r="AB3" s="102"/>
      <c r="AC3" s="102"/>
      <c r="AD3" s="102"/>
      <c r="AE3" s="102"/>
      <c r="AF3" s="103">
        <v>10.992000000000001</v>
      </c>
      <c r="AG3" s="103">
        <v>2.9060000000000001</v>
      </c>
      <c r="AH3" s="103">
        <f>AG3/AF3</f>
        <v>0.26437409024745268</v>
      </c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>
        <v>4.4969999999999999</v>
      </c>
      <c r="AV3" s="102">
        <v>13.196</v>
      </c>
      <c r="AW3" s="102">
        <f>AV3/AU3</f>
        <v>2.9344007115855013</v>
      </c>
      <c r="AX3" s="102"/>
      <c r="AY3" s="102"/>
      <c r="AZ3" s="102"/>
      <c r="BA3" s="102"/>
      <c r="BB3" s="102"/>
      <c r="BC3" s="102"/>
      <c r="BD3" s="102"/>
      <c r="BE3" s="102"/>
      <c r="BF3" s="102"/>
      <c r="BG3" s="104">
        <v>200.13300000000001</v>
      </c>
      <c r="BH3" s="104">
        <v>896.18129999999996</v>
      </c>
      <c r="BI3" s="80">
        <f>BH3/BG3</f>
        <v>4.4779286774295093</v>
      </c>
    </row>
    <row r="4" spans="1:61" ht="18" x14ac:dyDescent="0.35">
      <c r="A4" s="95" t="s">
        <v>24</v>
      </c>
      <c r="B4" s="100"/>
      <c r="C4" s="100"/>
      <c r="D4" s="100"/>
      <c r="E4" s="101">
        <v>4.0010000000000003</v>
      </c>
      <c r="F4" s="101">
        <v>23.765540000000001</v>
      </c>
      <c r="G4" s="101">
        <f t="shared" ref="G4:G32" si="0">F4/E4</f>
        <v>5.9399000249937517</v>
      </c>
      <c r="H4" s="101">
        <v>0.16475000000000001</v>
      </c>
      <c r="I4" s="101">
        <v>0.85084000000000004</v>
      </c>
      <c r="J4" s="101">
        <f t="shared" ref="J4:J32" si="1">I4/H4</f>
        <v>5.1644309559939305</v>
      </c>
      <c r="K4" s="101">
        <v>0.52054</v>
      </c>
      <c r="L4" s="101">
        <v>2.9766599999999999</v>
      </c>
      <c r="M4" s="101">
        <f t="shared" ref="M4:M32" si="2">L4/K4</f>
        <v>5.7184078072770586</v>
      </c>
      <c r="N4" s="101">
        <v>0.02</v>
      </c>
      <c r="O4" s="101">
        <v>5.0000000000000001E-3</v>
      </c>
      <c r="P4" s="101">
        <f>O4/N4</f>
        <v>0.25</v>
      </c>
      <c r="Q4" s="102">
        <v>10.909000000000001</v>
      </c>
      <c r="R4" s="102">
        <v>1.6140000000000001</v>
      </c>
      <c r="S4" s="102">
        <f>R4/Q4</f>
        <v>0.14795123292694107</v>
      </c>
      <c r="T4" s="103"/>
      <c r="U4" s="103"/>
      <c r="V4" s="103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3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4">
        <v>15.61529</v>
      </c>
      <c r="BH4" s="104">
        <v>29.212040000000002</v>
      </c>
      <c r="BI4" s="80">
        <f t="shared" ref="BI4:BI32" si="3">BH4/BG4</f>
        <v>1.8707331083828735</v>
      </c>
    </row>
    <row r="5" spans="1:61" ht="18" x14ac:dyDescent="0.35">
      <c r="A5" s="91" t="s">
        <v>25</v>
      </c>
      <c r="B5" s="100">
        <v>4.0670000000000002</v>
      </c>
      <c r="C5" s="100">
        <v>2.8990500000000003</v>
      </c>
      <c r="D5" s="100">
        <f t="shared" ref="D5:D32" si="4">C5/B5</f>
        <v>0.71282271944922548</v>
      </c>
      <c r="E5" s="101">
        <v>19.350999999999999</v>
      </c>
      <c r="F5" s="101">
        <v>183.15700000000001</v>
      </c>
      <c r="G5" s="101">
        <f t="shared" si="0"/>
        <v>9.4649888894630774</v>
      </c>
      <c r="H5" s="101">
        <v>22.359000000000002</v>
      </c>
      <c r="I5" s="101">
        <v>21.867000000000001</v>
      </c>
      <c r="J5" s="101">
        <f t="shared" si="1"/>
        <v>0.97799543807862599</v>
      </c>
      <c r="K5" s="101">
        <v>17.629000000000001</v>
      </c>
      <c r="L5" s="101">
        <v>22.829000000000001</v>
      </c>
      <c r="M5" s="101">
        <f t="shared" si="2"/>
        <v>1.294968517783198</v>
      </c>
      <c r="N5" s="101">
        <v>10.659000000000001</v>
      </c>
      <c r="O5" s="101">
        <v>67.418000000000006</v>
      </c>
      <c r="P5" s="101">
        <f t="shared" ref="P5:P32" si="5">O5/N5</f>
        <v>6.3249835819495264</v>
      </c>
      <c r="Q5" s="102"/>
      <c r="R5" s="102"/>
      <c r="S5" s="102"/>
      <c r="T5" s="103">
        <v>30.547999999999998</v>
      </c>
      <c r="U5" s="103">
        <v>32.838999999999999</v>
      </c>
      <c r="V5" s="103">
        <f t="shared" ref="V5:V32" si="6">U5/T5</f>
        <v>1.0749967264632709</v>
      </c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3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4">
        <v>104.61300000000001</v>
      </c>
      <c r="BH5" s="104">
        <v>331.00905</v>
      </c>
      <c r="BI5" s="80">
        <f t="shared" si="3"/>
        <v>3.1641292191219059</v>
      </c>
    </row>
    <row r="6" spans="1:61" ht="18" x14ac:dyDescent="0.35">
      <c r="A6" s="91" t="s">
        <v>26</v>
      </c>
      <c r="B6" s="100"/>
      <c r="C6" s="100"/>
      <c r="D6" s="100"/>
      <c r="E6" s="101">
        <v>0.38100000000000001</v>
      </c>
      <c r="F6" s="101">
        <v>3.2829999999999999</v>
      </c>
      <c r="G6" s="101">
        <f t="shared" si="0"/>
        <v>8.6167979002624673</v>
      </c>
      <c r="H6" s="101">
        <v>2.1960000000000002</v>
      </c>
      <c r="I6" s="101">
        <v>4.7130000000000001</v>
      </c>
      <c r="J6" s="101">
        <f t="shared" si="1"/>
        <v>2.1461748633879778</v>
      </c>
      <c r="K6" s="101">
        <v>2.8340000000000001</v>
      </c>
      <c r="L6" s="101">
        <v>2.8889999999999998</v>
      </c>
      <c r="M6" s="101">
        <f t="shared" si="2"/>
        <v>1.0194071983062807</v>
      </c>
      <c r="N6" s="101">
        <v>1.65</v>
      </c>
      <c r="O6" s="101">
        <v>2.452</v>
      </c>
      <c r="P6" s="101">
        <f t="shared" si="5"/>
        <v>1.4860606060606061</v>
      </c>
      <c r="Q6" s="102"/>
      <c r="R6" s="102"/>
      <c r="S6" s="102"/>
      <c r="T6" s="103">
        <v>2.2290000000000001</v>
      </c>
      <c r="U6" s="103">
        <v>2.0099999999999998</v>
      </c>
      <c r="V6" s="103">
        <f t="shared" si="6"/>
        <v>0.90174966352624486</v>
      </c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3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4">
        <v>9.2899999999999991</v>
      </c>
      <c r="BH6" s="104">
        <v>15.347</v>
      </c>
      <c r="BI6" s="80">
        <f t="shared" si="3"/>
        <v>1.6519913885898816</v>
      </c>
    </row>
    <row r="7" spans="1:61" ht="18" x14ac:dyDescent="0.35">
      <c r="A7" s="91" t="s">
        <v>53</v>
      </c>
      <c r="B7" s="100"/>
      <c r="C7" s="100"/>
      <c r="D7" s="100"/>
      <c r="E7" s="101">
        <v>2.0640000000000001</v>
      </c>
      <c r="F7" s="101">
        <v>8.7230000000000008</v>
      </c>
      <c r="G7" s="101">
        <f t="shared" si="0"/>
        <v>4.2262596899224807</v>
      </c>
      <c r="H7" s="101">
        <v>5.415</v>
      </c>
      <c r="I7" s="101">
        <v>3.2490000000000001</v>
      </c>
      <c r="J7" s="101">
        <f t="shared" si="1"/>
        <v>0.6</v>
      </c>
      <c r="K7" s="101">
        <v>1.4430000000000001</v>
      </c>
      <c r="L7" s="101">
        <v>1.157</v>
      </c>
      <c r="M7" s="101">
        <f t="shared" si="2"/>
        <v>0.80180180180180183</v>
      </c>
      <c r="N7" s="101">
        <v>1.573</v>
      </c>
      <c r="O7" s="101">
        <v>1.681</v>
      </c>
      <c r="P7" s="101">
        <f t="shared" si="5"/>
        <v>1.0686586141131595</v>
      </c>
      <c r="Q7" s="102"/>
      <c r="R7" s="102"/>
      <c r="S7" s="102"/>
      <c r="T7" s="103">
        <v>3.0190000000000001</v>
      </c>
      <c r="U7" s="103">
        <v>0.90500000000000003</v>
      </c>
      <c r="V7" s="103">
        <f t="shared" si="6"/>
        <v>0.29976813514408746</v>
      </c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3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4">
        <v>13.514000000000001</v>
      </c>
      <c r="BH7" s="104">
        <v>15.715000000000002</v>
      </c>
      <c r="BI7" s="80">
        <f t="shared" si="3"/>
        <v>1.1628681367470772</v>
      </c>
    </row>
    <row r="8" spans="1:61" ht="18" x14ac:dyDescent="0.35">
      <c r="A8" s="91" t="s">
        <v>29</v>
      </c>
      <c r="B8" s="100"/>
      <c r="C8" s="100"/>
      <c r="D8" s="100"/>
      <c r="E8" s="101">
        <v>5.0380000000000003</v>
      </c>
      <c r="F8" s="101">
        <v>113.223</v>
      </c>
      <c r="G8" s="101">
        <f t="shared" si="0"/>
        <v>22.473799126637552</v>
      </c>
      <c r="H8" s="101">
        <v>11.298999999999999</v>
      </c>
      <c r="I8" s="101">
        <v>18.905000000000001</v>
      </c>
      <c r="J8" s="101">
        <f t="shared" si="1"/>
        <v>1.673156916541287</v>
      </c>
      <c r="K8" s="101">
        <v>4.57</v>
      </c>
      <c r="L8" s="101">
        <v>18.180599999999998</v>
      </c>
      <c r="M8" s="101">
        <f t="shared" si="2"/>
        <v>3.9782494529540475</v>
      </c>
      <c r="N8" s="101">
        <v>12.18</v>
      </c>
      <c r="O8" s="101">
        <v>94.555000000000007</v>
      </c>
      <c r="P8" s="101">
        <f t="shared" si="5"/>
        <v>7.7631362889983588</v>
      </c>
      <c r="Q8" s="102"/>
      <c r="R8" s="102"/>
      <c r="S8" s="102"/>
      <c r="T8" s="103">
        <v>86.174999999999997</v>
      </c>
      <c r="U8" s="103">
        <v>129.149</v>
      </c>
      <c r="V8" s="103">
        <f t="shared" si="6"/>
        <v>1.4986829126776908</v>
      </c>
      <c r="W8" s="103">
        <v>494.238</v>
      </c>
      <c r="X8" s="103">
        <v>481.55599999999998</v>
      </c>
      <c r="Y8" s="103">
        <f>X8/W8</f>
        <v>0.97434029758942042</v>
      </c>
      <c r="Z8" s="103">
        <v>52.802</v>
      </c>
      <c r="AA8" s="103">
        <v>109.026</v>
      </c>
      <c r="AB8" s="103">
        <f>AA8/Z8</f>
        <v>2.0648081512063938</v>
      </c>
      <c r="AC8" s="103">
        <v>7.3259999999999996</v>
      </c>
      <c r="AD8" s="103">
        <v>14.173</v>
      </c>
      <c r="AE8" s="103">
        <f>AD8/AC8</f>
        <v>1.9346164346164347</v>
      </c>
      <c r="AF8" s="103">
        <v>10.331</v>
      </c>
      <c r="AG8" s="103">
        <v>10.599</v>
      </c>
      <c r="AH8" s="103">
        <f t="shared" ref="AH8:AH32" si="7">AG8/AF8</f>
        <v>1.025941341593263</v>
      </c>
      <c r="AI8" s="103">
        <v>15.102</v>
      </c>
      <c r="AJ8" s="103">
        <v>20.56</v>
      </c>
      <c r="AK8" s="103">
        <f>AJ8/AI8</f>
        <v>1.3614090848894185</v>
      </c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4">
        <v>699.06100000000004</v>
      </c>
      <c r="BH8" s="104">
        <v>1009.9266</v>
      </c>
      <c r="BI8" s="80">
        <f t="shared" si="3"/>
        <v>1.4446902344716699</v>
      </c>
    </row>
    <row r="9" spans="1:61" ht="18" x14ac:dyDescent="0.35">
      <c r="A9" s="91" t="s">
        <v>30</v>
      </c>
      <c r="B9" s="100"/>
      <c r="C9" s="100"/>
      <c r="D9" s="100"/>
      <c r="E9" s="101">
        <v>7.3999999999999996E-2</v>
      </c>
      <c r="F9" s="101">
        <v>0.623</v>
      </c>
      <c r="G9" s="101">
        <f t="shared" si="0"/>
        <v>8.4189189189189193</v>
      </c>
      <c r="H9" s="101">
        <v>2.2069999999999999</v>
      </c>
      <c r="I9" s="101">
        <v>4.0270000000000001</v>
      </c>
      <c r="J9" s="101">
        <f t="shared" si="1"/>
        <v>1.8246488445854103</v>
      </c>
      <c r="K9" s="101">
        <v>1.7529999999999999</v>
      </c>
      <c r="L9" s="101">
        <v>4.0608000000000004</v>
      </c>
      <c r="M9" s="101">
        <f t="shared" si="2"/>
        <v>2.316486023958928</v>
      </c>
      <c r="N9" s="101">
        <v>3.0960000000000001</v>
      </c>
      <c r="O9" s="101">
        <v>41.622</v>
      </c>
      <c r="P9" s="101">
        <f t="shared" si="5"/>
        <v>13.443798449612403</v>
      </c>
      <c r="Q9" s="102"/>
      <c r="R9" s="102"/>
      <c r="S9" s="102"/>
      <c r="T9" s="103">
        <v>2.1640000000000001</v>
      </c>
      <c r="U9" s="103">
        <v>6.2910000000000004</v>
      </c>
      <c r="V9" s="103">
        <f t="shared" si="6"/>
        <v>2.9071164510166358</v>
      </c>
      <c r="W9" s="103"/>
      <c r="X9" s="103"/>
      <c r="Y9" s="103"/>
      <c r="Z9" s="103">
        <v>0.219</v>
      </c>
      <c r="AA9" s="103">
        <v>0.73699999999999999</v>
      </c>
      <c r="AB9" s="103">
        <f t="shared" ref="AB9:AB32" si="8">AA9/Z9</f>
        <v>3.365296803652968</v>
      </c>
      <c r="AC9" s="103">
        <v>2.0830000000000002</v>
      </c>
      <c r="AD9" s="103">
        <v>8.3450000000000006</v>
      </c>
      <c r="AE9" s="103">
        <f t="shared" ref="AE9:AE32" si="9">AD9/AC9</f>
        <v>4.0062409985597691</v>
      </c>
      <c r="AF9" s="102"/>
      <c r="AG9" s="102"/>
      <c r="AH9" s="103"/>
      <c r="AI9" s="102"/>
      <c r="AJ9" s="102"/>
      <c r="AK9" s="103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4">
        <v>11.596</v>
      </c>
      <c r="BH9" s="104">
        <v>65.705800000000011</v>
      </c>
      <c r="BI9" s="80">
        <f t="shared" si="3"/>
        <v>5.6662469817178343</v>
      </c>
    </row>
    <row r="10" spans="1:61" ht="18" x14ac:dyDescent="0.35">
      <c r="A10" s="91" t="s">
        <v>31</v>
      </c>
      <c r="B10" s="100"/>
      <c r="C10" s="100"/>
      <c r="D10" s="100"/>
      <c r="E10" s="101">
        <v>2.2639999999999998</v>
      </c>
      <c r="F10" s="101">
        <v>10.675000000000001</v>
      </c>
      <c r="G10" s="101">
        <f t="shared" si="0"/>
        <v>4.7151060070671384</v>
      </c>
      <c r="H10" s="101">
        <v>0.58299999999999996</v>
      </c>
      <c r="I10" s="101">
        <v>0.27600000000000002</v>
      </c>
      <c r="J10" s="101">
        <f t="shared" si="1"/>
        <v>0.47341337907375652</v>
      </c>
      <c r="K10" s="101">
        <v>0.28499999999999998</v>
      </c>
      <c r="L10" s="101">
        <v>0.19700000000000001</v>
      </c>
      <c r="M10" s="101">
        <f t="shared" si="2"/>
        <v>0.69122807017543864</v>
      </c>
      <c r="N10" s="101">
        <v>3.9430000000000001</v>
      </c>
      <c r="O10" s="101">
        <v>2.5750000000000002</v>
      </c>
      <c r="P10" s="101">
        <f t="shared" si="5"/>
        <v>0.65305604869388789</v>
      </c>
      <c r="Q10" s="102"/>
      <c r="R10" s="102"/>
      <c r="S10" s="102"/>
      <c r="T10" s="103">
        <v>0.13</v>
      </c>
      <c r="U10" s="103">
        <v>6.6000000000000003E-2</v>
      </c>
      <c r="V10" s="103">
        <f t="shared" si="6"/>
        <v>0.50769230769230766</v>
      </c>
      <c r="W10" s="103">
        <v>0.08</v>
      </c>
      <c r="X10" s="103">
        <v>0.02</v>
      </c>
      <c r="Y10" s="103">
        <f t="shared" ref="Y10:Y32" si="10">X10/W10</f>
        <v>0.25</v>
      </c>
      <c r="Z10" s="102"/>
      <c r="AA10" s="102"/>
      <c r="AB10" s="103"/>
      <c r="AC10" s="103"/>
      <c r="AD10" s="103"/>
      <c r="AE10" s="103"/>
      <c r="AF10" s="102"/>
      <c r="AG10" s="102"/>
      <c r="AH10" s="103"/>
      <c r="AI10" s="102"/>
      <c r="AJ10" s="102"/>
      <c r="AK10" s="103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4">
        <v>7.2849999999999993</v>
      </c>
      <c r="BH10" s="104">
        <v>13.808999999999999</v>
      </c>
      <c r="BI10" s="80">
        <f t="shared" si="3"/>
        <v>1.8955387783115993</v>
      </c>
    </row>
    <row r="11" spans="1:61" ht="18" x14ac:dyDescent="0.35">
      <c r="A11" s="91" t="s">
        <v>32</v>
      </c>
      <c r="B11" s="100"/>
      <c r="C11" s="100"/>
      <c r="D11" s="100"/>
      <c r="E11" s="100">
        <v>1.9E-2</v>
      </c>
      <c r="F11" s="105">
        <v>3.7100000000000001E-2</v>
      </c>
      <c r="G11" s="101">
        <f t="shared" si="0"/>
        <v>1.9526315789473685</v>
      </c>
      <c r="H11" s="105">
        <v>0.69</v>
      </c>
      <c r="I11" s="105">
        <v>0.55610000000000004</v>
      </c>
      <c r="J11" s="101">
        <f t="shared" si="1"/>
        <v>0.80594202898550737</v>
      </c>
      <c r="K11" s="100">
        <v>4.0000000000000001E-3</v>
      </c>
      <c r="L11" s="100">
        <v>4.0000000000000001E-3</v>
      </c>
      <c r="M11" s="101">
        <f t="shared" si="2"/>
        <v>1</v>
      </c>
      <c r="N11" s="105">
        <v>0.66200000000000003</v>
      </c>
      <c r="O11" s="105">
        <v>0.53339999999999999</v>
      </c>
      <c r="P11" s="101">
        <f t="shared" si="5"/>
        <v>0.80574018126888214</v>
      </c>
      <c r="Q11" s="102"/>
      <c r="R11" s="102"/>
      <c r="S11" s="102"/>
      <c r="T11" s="103"/>
      <c r="U11" s="103"/>
      <c r="V11" s="103"/>
      <c r="W11" s="103"/>
      <c r="X11" s="103"/>
      <c r="Y11" s="103"/>
      <c r="Z11" s="102"/>
      <c r="AA11" s="102"/>
      <c r="AB11" s="103"/>
      <c r="AC11" s="103"/>
      <c r="AD11" s="103"/>
      <c r="AE11" s="103"/>
      <c r="AF11" s="102"/>
      <c r="AG11" s="102"/>
      <c r="AH11" s="103"/>
      <c r="AI11" s="102"/>
      <c r="AJ11" s="102"/>
      <c r="AK11" s="103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>
        <v>3.5230000000000001</v>
      </c>
      <c r="AY11" s="102">
        <v>4.0000000000000001E-3</v>
      </c>
      <c r="AZ11" s="102">
        <f>AY11/AX11</f>
        <v>1.1353959693443088E-3</v>
      </c>
      <c r="BA11" s="102"/>
      <c r="BB11" s="102"/>
      <c r="BC11" s="102"/>
      <c r="BD11" s="102"/>
      <c r="BE11" s="102"/>
      <c r="BF11" s="102"/>
      <c r="BG11" s="104">
        <v>4.8979999999999997</v>
      </c>
      <c r="BH11" s="104">
        <v>1.1346000000000001</v>
      </c>
      <c r="BI11" s="80">
        <f t="shared" si="3"/>
        <v>0.23164556962025318</v>
      </c>
    </row>
    <row r="12" spans="1:61" ht="18" x14ac:dyDescent="0.35">
      <c r="A12" s="91" t="s">
        <v>33</v>
      </c>
      <c r="B12" s="100"/>
      <c r="C12" s="100"/>
      <c r="D12" s="100"/>
      <c r="E12" s="100"/>
      <c r="F12" s="105"/>
      <c r="G12" s="101"/>
      <c r="H12" s="105"/>
      <c r="I12" s="105"/>
      <c r="J12" s="101"/>
      <c r="K12" s="100"/>
      <c r="L12" s="100"/>
      <c r="M12" s="101"/>
      <c r="N12" s="105"/>
      <c r="O12" s="105"/>
      <c r="P12" s="101"/>
      <c r="Q12" s="102"/>
      <c r="R12" s="102"/>
      <c r="S12" s="102"/>
      <c r="T12" s="103"/>
      <c r="U12" s="103"/>
      <c r="V12" s="103"/>
      <c r="W12" s="103"/>
      <c r="X12" s="103"/>
      <c r="Y12" s="103"/>
      <c r="Z12" s="102"/>
      <c r="AA12" s="102"/>
      <c r="AB12" s="103"/>
      <c r="AC12" s="103"/>
      <c r="AD12" s="103"/>
      <c r="AE12" s="103"/>
      <c r="AF12" s="102"/>
      <c r="AG12" s="102"/>
      <c r="AH12" s="103"/>
      <c r="AI12" s="102"/>
      <c r="AJ12" s="102"/>
      <c r="AK12" s="103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4">
        <v>0</v>
      </c>
      <c r="BH12" s="104">
        <v>0</v>
      </c>
      <c r="BI12" s="80"/>
    </row>
    <row r="13" spans="1:61" ht="18" x14ac:dyDescent="0.35">
      <c r="A13" s="91" t="s">
        <v>34</v>
      </c>
      <c r="B13" s="100">
        <v>160.774</v>
      </c>
      <c r="C13" s="100">
        <v>63.027500000000003</v>
      </c>
      <c r="D13" s="100">
        <f t="shared" si="4"/>
        <v>0.39202545187654725</v>
      </c>
      <c r="E13" s="101">
        <v>22.388000000000002</v>
      </c>
      <c r="F13" s="101">
        <v>234.17140000000001</v>
      </c>
      <c r="G13" s="101">
        <f t="shared" si="0"/>
        <v>10.459683759156691</v>
      </c>
      <c r="H13" s="101">
        <v>74.078000000000003</v>
      </c>
      <c r="I13" s="101">
        <v>129.238</v>
      </c>
      <c r="J13" s="101">
        <f t="shared" si="1"/>
        <v>1.7446205351116391</v>
      </c>
      <c r="K13" s="101">
        <v>20.74</v>
      </c>
      <c r="L13" s="101">
        <v>132.66800000000001</v>
      </c>
      <c r="M13" s="101">
        <f t="shared" si="2"/>
        <v>6.3967213114754102</v>
      </c>
      <c r="N13" s="101">
        <v>1.706</v>
      </c>
      <c r="O13" s="101">
        <v>8.7409999999999997</v>
      </c>
      <c r="P13" s="101">
        <f t="shared" si="5"/>
        <v>5.1236811254396244</v>
      </c>
      <c r="Q13" s="102">
        <v>1.9390000000000001</v>
      </c>
      <c r="R13" s="102">
        <v>0.30099999999999999</v>
      </c>
      <c r="S13" s="102">
        <f t="shared" ref="S13:S32" si="11">R13/Q13</f>
        <v>0.15523465703971118</v>
      </c>
      <c r="T13" s="103">
        <v>0.60799999999999998</v>
      </c>
      <c r="U13" s="103">
        <v>0.3</v>
      </c>
      <c r="V13" s="103">
        <f t="shared" si="6"/>
        <v>0.49342105263157893</v>
      </c>
      <c r="W13" s="103"/>
      <c r="X13" s="103"/>
      <c r="Y13" s="103"/>
      <c r="Z13" s="102"/>
      <c r="AA13" s="102"/>
      <c r="AB13" s="103"/>
      <c r="AC13" s="103">
        <v>0.58699999999999997</v>
      </c>
      <c r="AD13" s="103">
        <v>2.7210000000000001</v>
      </c>
      <c r="AE13" s="103">
        <f t="shared" si="9"/>
        <v>4.6354344122657585</v>
      </c>
      <c r="AF13" s="102"/>
      <c r="AG13" s="102"/>
      <c r="AH13" s="103"/>
      <c r="AI13" s="103">
        <v>0.30599999999999999</v>
      </c>
      <c r="AJ13" s="103">
        <v>1.375</v>
      </c>
      <c r="AK13" s="103">
        <f t="shared" ref="AK13:AK23" si="12">AJ13/AI13</f>
        <v>4.4934640522875817</v>
      </c>
      <c r="AL13" s="103">
        <v>3.1E-2</v>
      </c>
      <c r="AM13" s="103">
        <v>6.0000000000000001E-3</v>
      </c>
      <c r="AN13" s="103">
        <f>AM13/AL13</f>
        <v>0.19354838709677419</v>
      </c>
      <c r="AO13" s="103">
        <v>0.71599999999999997</v>
      </c>
      <c r="AP13" s="103">
        <v>0.49399999999999999</v>
      </c>
      <c r="AQ13" s="103">
        <f>AP13/AO13</f>
        <v>0.68994413407821231</v>
      </c>
      <c r="AR13" s="103">
        <v>9.9000000000000005E-2</v>
      </c>
      <c r="AS13" s="103">
        <v>0.16800000000000001</v>
      </c>
      <c r="AT13" s="103">
        <f>AS13/AR13</f>
        <v>1.696969696969697</v>
      </c>
      <c r="AU13" s="103">
        <v>13.116</v>
      </c>
      <c r="AV13" s="103">
        <v>62.167000000000002</v>
      </c>
      <c r="AW13" s="102">
        <f t="shared" ref="AW13:AW32" si="13">AV13/AU13</f>
        <v>4.7397834705702957</v>
      </c>
      <c r="AX13" s="103"/>
      <c r="AY13" s="103"/>
      <c r="AZ13" s="103"/>
      <c r="BA13" s="103">
        <v>0.2</v>
      </c>
      <c r="BB13" s="103">
        <v>0.06</v>
      </c>
      <c r="BC13" s="103">
        <f>BB13/BA13</f>
        <v>0.3</v>
      </c>
      <c r="BD13" s="102"/>
      <c r="BE13" s="102"/>
      <c r="BF13" s="102"/>
      <c r="BG13" s="104">
        <v>297.28800000000001</v>
      </c>
      <c r="BH13" s="104">
        <v>635.43790000000001</v>
      </c>
      <c r="BI13" s="80">
        <f t="shared" si="3"/>
        <v>2.1374488711283335</v>
      </c>
    </row>
    <row r="14" spans="1:61" ht="18" x14ac:dyDescent="0.35">
      <c r="A14" s="91" t="s">
        <v>35</v>
      </c>
      <c r="B14" s="100">
        <v>82.536829999999995</v>
      </c>
      <c r="C14" s="100">
        <v>37.24747</v>
      </c>
      <c r="D14" s="100">
        <f t="shared" si="4"/>
        <v>0.45128302116764119</v>
      </c>
      <c r="E14" s="101">
        <v>3.2650000000000001</v>
      </c>
      <c r="F14" s="101">
        <v>72.084299999999999</v>
      </c>
      <c r="G14" s="101">
        <f t="shared" si="0"/>
        <v>22.077886676875956</v>
      </c>
      <c r="H14" s="101"/>
      <c r="I14" s="101"/>
      <c r="J14" s="101"/>
      <c r="K14" s="101">
        <v>2.4569999999999999</v>
      </c>
      <c r="L14" s="101">
        <v>6.7990000000000004</v>
      </c>
      <c r="M14" s="101">
        <f t="shared" si="2"/>
        <v>2.7671957671957674</v>
      </c>
      <c r="N14" s="101">
        <v>0.187</v>
      </c>
      <c r="O14" s="101">
        <v>0.97</v>
      </c>
      <c r="P14" s="101">
        <f t="shared" si="5"/>
        <v>5.1871657754010698</v>
      </c>
      <c r="Q14" s="102">
        <v>39.697000000000003</v>
      </c>
      <c r="R14" s="102">
        <v>10.074999999999999</v>
      </c>
      <c r="S14" s="102">
        <f t="shared" si="11"/>
        <v>0.2537975161851021</v>
      </c>
      <c r="T14" s="103"/>
      <c r="U14" s="103"/>
      <c r="V14" s="103"/>
      <c r="W14" s="103"/>
      <c r="X14" s="103"/>
      <c r="Y14" s="103"/>
      <c r="Z14" s="102"/>
      <c r="AA14" s="102"/>
      <c r="AB14" s="103"/>
      <c r="AC14" s="103"/>
      <c r="AD14" s="103"/>
      <c r="AE14" s="103"/>
      <c r="AF14" s="102"/>
      <c r="AG14" s="102"/>
      <c r="AH14" s="103"/>
      <c r="AI14" s="102"/>
      <c r="AJ14" s="102"/>
      <c r="AK14" s="103"/>
      <c r="AL14" s="103">
        <v>0.108</v>
      </c>
      <c r="AM14" s="103">
        <v>1.0999999999999999E-2</v>
      </c>
      <c r="AN14" s="103">
        <f t="shared" ref="AN14:AN32" si="14">AM14/AL14</f>
        <v>0.10185185185185185</v>
      </c>
      <c r="AO14" s="102">
        <v>22.512</v>
      </c>
      <c r="AP14" s="102">
        <v>14.342000000000001</v>
      </c>
      <c r="AQ14" s="103">
        <f t="shared" ref="AQ14:AQ32" si="15">AP14/AO14</f>
        <v>0.63708244491826582</v>
      </c>
      <c r="AR14" s="103">
        <v>1.0389999999999999</v>
      </c>
      <c r="AS14" s="103">
        <v>7.0999999999999994E-2</v>
      </c>
      <c r="AT14" s="103">
        <f t="shared" ref="AT14:AT32" si="16">AS14/AR14</f>
        <v>6.8334937439846005E-2</v>
      </c>
      <c r="AU14" s="103">
        <v>10.712999999999999</v>
      </c>
      <c r="AV14" s="103">
        <v>37.295000000000002</v>
      </c>
      <c r="AW14" s="102">
        <f t="shared" si="13"/>
        <v>3.4812844207971629</v>
      </c>
      <c r="AX14" s="103"/>
      <c r="AY14" s="103"/>
      <c r="AZ14" s="103"/>
      <c r="BA14" s="103">
        <v>0.05</v>
      </c>
      <c r="BB14" s="103">
        <v>0.04</v>
      </c>
      <c r="BC14" s="103">
        <f t="shared" ref="BC14:BC32" si="17">BB14/BA14</f>
        <v>0.79999999999999993</v>
      </c>
      <c r="BD14" s="102"/>
      <c r="BE14" s="102"/>
      <c r="BF14" s="102"/>
      <c r="BG14" s="104">
        <v>162.56483</v>
      </c>
      <c r="BH14" s="104">
        <v>178.93476999999999</v>
      </c>
      <c r="BI14" s="80">
        <f t="shared" si="3"/>
        <v>1.1006979184858126</v>
      </c>
    </row>
    <row r="15" spans="1:61" ht="18" x14ac:dyDescent="0.35">
      <c r="A15" s="91" t="s">
        <v>36</v>
      </c>
      <c r="B15" s="100"/>
      <c r="C15" s="100"/>
      <c r="D15" s="100"/>
      <c r="E15" s="101">
        <v>27.479559999999999</v>
      </c>
      <c r="F15" s="101">
        <v>438.39389999999997</v>
      </c>
      <c r="G15" s="101">
        <f t="shared" si="0"/>
        <v>15.953454130997731</v>
      </c>
      <c r="H15" s="101">
        <v>88.674570000000003</v>
      </c>
      <c r="I15" s="101">
        <v>208.63417999999999</v>
      </c>
      <c r="J15" s="101">
        <f t="shared" si="1"/>
        <v>2.3528073493900221</v>
      </c>
      <c r="K15" s="101">
        <v>16.271799999999999</v>
      </c>
      <c r="L15" s="101">
        <v>57.067410000000002</v>
      </c>
      <c r="M15" s="101">
        <f t="shared" si="2"/>
        <v>3.5071356580095627</v>
      </c>
      <c r="N15" s="101">
        <v>183.71376000000001</v>
      </c>
      <c r="O15" s="101">
        <v>1869.42968</v>
      </c>
      <c r="P15" s="101">
        <f t="shared" si="5"/>
        <v>10.175773877797722</v>
      </c>
      <c r="Q15" s="102"/>
      <c r="R15" s="102"/>
      <c r="S15" s="102"/>
      <c r="T15" s="103">
        <v>292.28787999999997</v>
      </c>
      <c r="U15" s="103">
        <v>394.75792000000001</v>
      </c>
      <c r="V15" s="103">
        <f t="shared" si="6"/>
        <v>1.3505791618865621</v>
      </c>
      <c r="W15" s="103">
        <v>0.53918999999999995</v>
      </c>
      <c r="X15" s="103">
        <v>0.65085000000000004</v>
      </c>
      <c r="Y15" s="103">
        <f t="shared" si="10"/>
        <v>1.2070884103933681</v>
      </c>
      <c r="Z15" s="103">
        <v>1.5618700000000001</v>
      </c>
      <c r="AA15" s="103">
        <v>2.7737099999999999</v>
      </c>
      <c r="AB15" s="103">
        <f t="shared" si="8"/>
        <v>1.7758904390250148</v>
      </c>
      <c r="AC15" s="103">
        <v>46.950240000000001</v>
      </c>
      <c r="AD15" s="103">
        <v>76.753479999999996</v>
      </c>
      <c r="AE15" s="103">
        <f t="shared" si="9"/>
        <v>1.6347835495622598</v>
      </c>
      <c r="AF15" s="103">
        <v>7.6457199999999998</v>
      </c>
      <c r="AG15" s="103">
        <v>8.4704200000000007</v>
      </c>
      <c r="AH15" s="103">
        <f t="shared" si="7"/>
        <v>1.1078642691597391</v>
      </c>
      <c r="AI15" s="103">
        <v>2.5999999999999999E-2</v>
      </c>
      <c r="AJ15" s="103">
        <v>2.5999999999999999E-2</v>
      </c>
      <c r="AK15" s="103">
        <f t="shared" si="12"/>
        <v>1</v>
      </c>
      <c r="AL15" s="102"/>
      <c r="AM15" s="102"/>
      <c r="AN15" s="103"/>
      <c r="AO15" s="102"/>
      <c r="AP15" s="102"/>
      <c r="AQ15" s="103"/>
      <c r="AR15" s="102"/>
      <c r="AS15" s="102"/>
      <c r="AT15" s="103"/>
      <c r="AU15" s="103">
        <v>0.87324999999999997</v>
      </c>
      <c r="AV15" s="103">
        <v>8.9696400000000001</v>
      </c>
      <c r="AW15" s="102">
        <f t="shared" si="13"/>
        <v>10.271560263383911</v>
      </c>
      <c r="AX15" s="102"/>
      <c r="AY15" s="102"/>
      <c r="AZ15" s="102"/>
      <c r="BA15" s="102"/>
      <c r="BB15" s="102"/>
      <c r="BC15" s="103"/>
      <c r="BD15" s="102">
        <v>0.68100000000000005</v>
      </c>
      <c r="BE15" s="102">
        <v>10.052</v>
      </c>
      <c r="BF15" s="102">
        <f>BE15/BD15</f>
        <v>14.760646108663728</v>
      </c>
      <c r="BG15" s="104">
        <v>666.70483999999988</v>
      </c>
      <c r="BH15" s="104">
        <v>3075.97919</v>
      </c>
      <c r="BI15" s="80">
        <f t="shared" si="3"/>
        <v>4.6137046042743597</v>
      </c>
    </row>
    <row r="16" spans="1:61" ht="18" x14ac:dyDescent="0.35">
      <c r="A16" s="91" t="s">
        <v>37</v>
      </c>
      <c r="B16" s="100">
        <v>1.327</v>
      </c>
      <c r="C16" s="100">
        <v>0.67300000000000004</v>
      </c>
      <c r="D16" s="100">
        <f t="shared" si="4"/>
        <v>0.50715900527505653</v>
      </c>
      <c r="E16" s="101">
        <v>7.8330000000000002</v>
      </c>
      <c r="F16" s="101">
        <v>113.14400000000001</v>
      </c>
      <c r="G16" s="101">
        <f t="shared" si="0"/>
        <v>14.444529554449126</v>
      </c>
      <c r="H16" s="101">
        <v>6.508</v>
      </c>
      <c r="I16" s="101">
        <v>22.434000000000001</v>
      </c>
      <c r="J16" s="101">
        <f t="shared" si="1"/>
        <v>3.4471419791026432</v>
      </c>
      <c r="K16" s="101">
        <v>54.247999999999998</v>
      </c>
      <c r="L16" s="101">
        <v>218.87260000000001</v>
      </c>
      <c r="M16" s="101">
        <f t="shared" si="2"/>
        <v>4.0346667158236249</v>
      </c>
      <c r="N16" s="101">
        <v>2.65</v>
      </c>
      <c r="O16" s="101">
        <v>13.834</v>
      </c>
      <c r="P16" s="101">
        <f t="shared" si="5"/>
        <v>5.2203773584905662</v>
      </c>
      <c r="Q16" s="102"/>
      <c r="R16" s="102"/>
      <c r="S16" s="102"/>
      <c r="T16" s="103">
        <v>1.7969999999999999</v>
      </c>
      <c r="U16" s="103">
        <v>4.3259999999999996</v>
      </c>
      <c r="V16" s="103">
        <f t="shared" si="6"/>
        <v>2.4073455759599329</v>
      </c>
      <c r="W16" s="102"/>
      <c r="X16" s="102"/>
      <c r="Y16" s="103"/>
      <c r="Z16" s="103"/>
      <c r="AA16" s="103"/>
      <c r="AB16" s="103"/>
      <c r="AC16" s="103">
        <v>0.74099999999999999</v>
      </c>
      <c r="AD16" s="103">
        <v>5.6230000000000002</v>
      </c>
      <c r="AE16" s="103">
        <f t="shared" si="9"/>
        <v>7.5883940620782733</v>
      </c>
      <c r="AF16" s="102"/>
      <c r="AG16" s="102"/>
      <c r="AH16" s="103"/>
      <c r="AI16" s="102"/>
      <c r="AJ16" s="102"/>
      <c r="AK16" s="103"/>
      <c r="AL16" s="103">
        <v>2.5999999999999999E-2</v>
      </c>
      <c r="AM16" s="103">
        <v>2.9000000000000001E-2</v>
      </c>
      <c r="AN16" s="103">
        <f t="shared" si="14"/>
        <v>1.1153846153846154</v>
      </c>
      <c r="AO16" s="103">
        <v>9.7000000000000003E-2</v>
      </c>
      <c r="AP16" s="103">
        <v>0.11799999999999999</v>
      </c>
      <c r="AQ16" s="103">
        <f t="shared" si="15"/>
        <v>1.2164948453608246</v>
      </c>
      <c r="AR16" s="102"/>
      <c r="AS16" s="102"/>
      <c r="AT16" s="103"/>
      <c r="AU16" s="103">
        <v>1.1060000000000001</v>
      </c>
      <c r="AV16" s="103">
        <v>8.9879999999999995</v>
      </c>
      <c r="AW16" s="102">
        <f t="shared" si="13"/>
        <v>8.1265822784810116</v>
      </c>
      <c r="AX16" s="102"/>
      <c r="AY16" s="102"/>
      <c r="AZ16" s="102"/>
      <c r="BA16" s="102"/>
      <c r="BB16" s="102"/>
      <c r="BC16" s="103"/>
      <c r="BD16" s="102"/>
      <c r="BE16" s="102"/>
      <c r="BF16" s="102"/>
      <c r="BG16" s="104">
        <v>76.332999999999984</v>
      </c>
      <c r="BH16" s="104">
        <v>388.04160000000002</v>
      </c>
      <c r="BI16" s="80">
        <f t="shared" si="3"/>
        <v>5.0835366093301726</v>
      </c>
    </row>
    <row r="17" spans="1:61" ht="18" x14ac:dyDescent="0.35">
      <c r="A17" s="97" t="s">
        <v>38</v>
      </c>
      <c r="B17" s="100"/>
      <c r="C17" s="100"/>
      <c r="D17" s="100"/>
      <c r="E17" s="101">
        <v>5.47</v>
      </c>
      <c r="F17" s="101">
        <v>77.808800000000005</v>
      </c>
      <c r="G17" s="101">
        <f t="shared" si="0"/>
        <v>14.224643510054847</v>
      </c>
      <c r="H17" s="101">
        <v>1E-4</v>
      </c>
      <c r="I17" s="101">
        <v>9.7999999999999997E-4</v>
      </c>
      <c r="J17" s="101">
        <f t="shared" si="1"/>
        <v>9.7999999999999989</v>
      </c>
      <c r="K17" s="101">
        <v>2.4889999999999999</v>
      </c>
      <c r="L17" s="101">
        <v>6.0533999999999999</v>
      </c>
      <c r="M17" s="101">
        <f t="shared" si="2"/>
        <v>2.4320610687022901</v>
      </c>
      <c r="N17" s="101"/>
      <c r="O17" s="101"/>
      <c r="P17" s="101"/>
      <c r="Q17" s="102">
        <v>0.14799999999999999</v>
      </c>
      <c r="R17" s="102">
        <v>4.2500000000000003E-3</v>
      </c>
      <c r="S17" s="102">
        <f t="shared" si="11"/>
        <v>2.8716216216216221E-2</v>
      </c>
      <c r="T17" s="102">
        <v>0.01</v>
      </c>
      <c r="U17" s="102">
        <v>5.0000000000000001E-3</v>
      </c>
      <c r="V17" s="103">
        <f t="shared" si="6"/>
        <v>0.5</v>
      </c>
      <c r="W17" s="102"/>
      <c r="X17" s="102"/>
      <c r="Y17" s="103"/>
      <c r="Z17" s="102"/>
      <c r="AA17" s="102"/>
      <c r="AB17" s="103"/>
      <c r="AC17" s="102"/>
      <c r="AD17" s="102"/>
      <c r="AE17" s="103"/>
      <c r="AF17" s="102"/>
      <c r="AG17" s="102"/>
      <c r="AH17" s="103"/>
      <c r="AI17" s="102"/>
      <c r="AJ17" s="102"/>
      <c r="AK17" s="103"/>
      <c r="AL17" s="102"/>
      <c r="AM17" s="102"/>
      <c r="AN17" s="103"/>
      <c r="AO17" s="102"/>
      <c r="AP17" s="102"/>
      <c r="AQ17" s="103"/>
      <c r="AR17" s="102"/>
      <c r="AS17" s="102"/>
      <c r="AT17" s="103"/>
      <c r="AU17" s="102"/>
      <c r="AV17" s="102"/>
      <c r="AW17" s="102"/>
      <c r="AX17" s="102"/>
      <c r="AY17" s="102"/>
      <c r="AZ17" s="102"/>
      <c r="BA17" s="102"/>
      <c r="BB17" s="102"/>
      <c r="BC17" s="103"/>
      <c r="BD17" s="102"/>
      <c r="BE17" s="102"/>
      <c r="BF17" s="102"/>
      <c r="BG17" s="104">
        <v>8.1170999999999989</v>
      </c>
      <c r="BH17" s="104">
        <v>83.872429999999994</v>
      </c>
      <c r="BI17" s="80">
        <f t="shared" si="3"/>
        <v>10.332807283389389</v>
      </c>
    </row>
    <row r="18" spans="1:61" ht="18" x14ac:dyDescent="0.35">
      <c r="A18" s="91" t="s">
        <v>39</v>
      </c>
      <c r="B18" s="100">
        <v>1.0109999999999999</v>
      </c>
      <c r="C18" s="100">
        <v>0.75</v>
      </c>
      <c r="D18" s="100">
        <f t="shared" si="4"/>
        <v>0.74183976261127604</v>
      </c>
      <c r="E18" s="101">
        <v>9.9139999999999997</v>
      </c>
      <c r="F18" s="101">
        <v>65.933999999999997</v>
      </c>
      <c r="G18" s="101">
        <f t="shared" si="0"/>
        <v>6.6505951180149285</v>
      </c>
      <c r="H18" s="105"/>
      <c r="I18" s="105"/>
      <c r="J18" s="101"/>
      <c r="K18" s="105">
        <v>2.6059999999999999</v>
      </c>
      <c r="L18" s="105">
        <v>3.2574000000000001</v>
      </c>
      <c r="M18" s="101">
        <f t="shared" si="2"/>
        <v>1.2499616270145819</v>
      </c>
      <c r="N18" s="105"/>
      <c r="O18" s="105"/>
      <c r="P18" s="101"/>
      <c r="Q18" s="102"/>
      <c r="R18" s="102"/>
      <c r="S18" s="102"/>
      <c r="T18" s="102"/>
      <c r="U18" s="102"/>
      <c r="V18" s="103"/>
      <c r="W18" s="102"/>
      <c r="X18" s="102"/>
      <c r="Y18" s="103"/>
      <c r="Z18" s="102"/>
      <c r="AA18" s="102"/>
      <c r="AB18" s="103"/>
      <c r="AC18" s="102"/>
      <c r="AD18" s="102"/>
      <c r="AE18" s="103"/>
      <c r="AF18" s="102"/>
      <c r="AG18" s="102"/>
      <c r="AH18" s="103"/>
      <c r="AI18" s="102"/>
      <c r="AJ18" s="102"/>
      <c r="AK18" s="103"/>
      <c r="AL18" s="102">
        <v>2</v>
      </c>
      <c r="AM18" s="102">
        <v>5</v>
      </c>
      <c r="AN18" s="103">
        <f t="shared" si="14"/>
        <v>2.5</v>
      </c>
      <c r="AO18" s="102"/>
      <c r="AP18" s="102"/>
      <c r="AQ18" s="103"/>
      <c r="AR18" s="102"/>
      <c r="AS18" s="102"/>
      <c r="AT18" s="103"/>
      <c r="AU18" s="102"/>
      <c r="AV18" s="102"/>
      <c r="AW18" s="102"/>
      <c r="AX18" s="102"/>
      <c r="AY18" s="102"/>
      <c r="AZ18" s="102"/>
      <c r="BA18" s="102"/>
      <c r="BB18" s="102"/>
      <c r="BC18" s="103"/>
      <c r="BD18" s="102"/>
      <c r="BE18" s="102"/>
      <c r="BF18" s="102"/>
      <c r="BG18" s="104">
        <v>15.530999999999999</v>
      </c>
      <c r="BH18" s="104">
        <v>74.941400000000002</v>
      </c>
      <c r="BI18" s="80">
        <f t="shared" si="3"/>
        <v>4.8252784753074502</v>
      </c>
    </row>
    <row r="19" spans="1:61" ht="18" x14ac:dyDescent="0.35">
      <c r="A19" s="91" t="s">
        <v>40</v>
      </c>
      <c r="B19" s="100">
        <v>7.0000000000000007E-2</v>
      </c>
      <c r="C19" s="100">
        <v>2.5000000000000001E-3</v>
      </c>
      <c r="D19" s="100">
        <f t="shared" si="4"/>
        <v>3.5714285714285712E-2</v>
      </c>
      <c r="E19" s="101">
        <v>8.5530000000000008</v>
      </c>
      <c r="F19" s="101">
        <v>61.000999999999998</v>
      </c>
      <c r="G19" s="101">
        <f t="shared" si="0"/>
        <v>7.1321173857126148</v>
      </c>
      <c r="H19" s="105">
        <v>11.196</v>
      </c>
      <c r="I19" s="105">
        <v>10.917999999999999</v>
      </c>
      <c r="J19" s="101">
        <f t="shared" si="1"/>
        <v>0.97516970346552334</v>
      </c>
      <c r="K19" s="105">
        <v>7.6529999999999996</v>
      </c>
      <c r="L19" s="105">
        <v>29.51</v>
      </c>
      <c r="M19" s="101">
        <f t="shared" si="2"/>
        <v>3.8560041813667847</v>
      </c>
      <c r="N19" s="105">
        <v>2.3E-2</v>
      </c>
      <c r="O19" s="105">
        <v>1.2E-2</v>
      </c>
      <c r="P19" s="101">
        <f t="shared" si="5"/>
        <v>0.52173913043478259</v>
      </c>
      <c r="Q19" s="102"/>
      <c r="R19" s="102"/>
      <c r="S19" s="102"/>
      <c r="T19" s="102">
        <v>0.71</v>
      </c>
      <c r="U19" s="102">
        <v>2.1000000000000001E-2</v>
      </c>
      <c r="V19" s="103">
        <f t="shared" si="6"/>
        <v>2.9577464788732397E-2</v>
      </c>
      <c r="W19" s="102"/>
      <c r="X19" s="102"/>
      <c r="Y19" s="103"/>
      <c r="Z19" s="102"/>
      <c r="AA19" s="102"/>
      <c r="AB19" s="103"/>
      <c r="AC19" s="102"/>
      <c r="AD19" s="102"/>
      <c r="AE19" s="103"/>
      <c r="AF19" s="102"/>
      <c r="AG19" s="102"/>
      <c r="AH19" s="103"/>
      <c r="AI19" s="102"/>
      <c r="AJ19" s="102"/>
      <c r="AK19" s="103"/>
      <c r="AL19" s="102">
        <v>1E-3</v>
      </c>
      <c r="AM19" s="102">
        <v>2.5000000000000001E-4</v>
      </c>
      <c r="AN19" s="103">
        <f t="shared" si="14"/>
        <v>0.25</v>
      </c>
      <c r="AO19" s="102"/>
      <c r="AP19" s="102"/>
      <c r="AQ19" s="103"/>
      <c r="AR19" s="102"/>
      <c r="AS19" s="102"/>
      <c r="AT19" s="103"/>
      <c r="AU19" s="102">
        <v>0.01</v>
      </c>
      <c r="AV19" s="102">
        <v>2.5999999999999999E-2</v>
      </c>
      <c r="AW19" s="102">
        <f t="shared" si="13"/>
        <v>2.5999999999999996</v>
      </c>
      <c r="AX19" s="102"/>
      <c r="AY19" s="102"/>
      <c r="AZ19" s="102"/>
      <c r="BA19" s="102"/>
      <c r="BB19" s="102"/>
      <c r="BC19" s="103"/>
      <c r="BD19" s="102"/>
      <c r="BE19" s="102"/>
      <c r="BF19" s="102"/>
      <c r="BG19" s="104">
        <v>28.216000000000005</v>
      </c>
      <c r="BH19" s="104">
        <v>101.49074999999999</v>
      </c>
      <c r="BI19" s="80">
        <f t="shared" si="3"/>
        <v>3.5969219591721</v>
      </c>
    </row>
    <row r="20" spans="1:61" ht="18" x14ac:dyDescent="0.35">
      <c r="A20" s="95" t="s">
        <v>41</v>
      </c>
      <c r="B20" s="100">
        <v>0.114</v>
      </c>
      <c r="C20" s="100">
        <v>2.5999999999999999E-2</v>
      </c>
      <c r="D20" s="100">
        <f t="shared" si="4"/>
        <v>0.22807017543859648</v>
      </c>
      <c r="E20" s="101">
        <v>4.79</v>
      </c>
      <c r="F20" s="101">
        <v>35.963999999999999</v>
      </c>
      <c r="G20" s="101">
        <f t="shared" si="0"/>
        <v>7.5081419624217114</v>
      </c>
      <c r="H20" s="101">
        <v>1.379</v>
      </c>
      <c r="I20" s="101">
        <v>1.7536099999999999</v>
      </c>
      <c r="J20" s="101">
        <f t="shared" si="1"/>
        <v>1.2716533720087018</v>
      </c>
      <c r="K20" s="101">
        <v>0.65200000000000002</v>
      </c>
      <c r="L20" s="101">
        <v>1.8340399999999999</v>
      </c>
      <c r="M20" s="101">
        <f t="shared" si="2"/>
        <v>2.8129447852760734</v>
      </c>
      <c r="N20" s="101">
        <v>0.28399999999999997</v>
      </c>
      <c r="O20" s="101">
        <v>2.399</v>
      </c>
      <c r="P20" s="101">
        <f t="shared" si="5"/>
        <v>8.4471830985915499</v>
      </c>
      <c r="Q20" s="102">
        <v>4.0570000000000004</v>
      </c>
      <c r="R20" s="102">
        <v>2.3069999999999999</v>
      </c>
      <c r="S20" s="102">
        <f t="shared" si="11"/>
        <v>0.56864678333744134</v>
      </c>
      <c r="T20" s="103">
        <v>5.0999999999999997E-2</v>
      </c>
      <c r="U20" s="103">
        <v>7.9000000000000001E-2</v>
      </c>
      <c r="V20" s="103">
        <f t="shared" si="6"/>
        <v>1.5490196078431373</v>
      </c>
      <c r="W20" s="102"/>
      <c r="X20" s="102"/>
      <c r="Y20" s="103"/>
      <c r="Z20" s="102"/>
      <c r="AA20" s="102"/>
      <c r="AB20" s="103"/>
      <c r="AC20" s="102"/>
      <c r="AD20" s="102"/>
      <c r="AE20" s="103"/>
      <c r="AF20" s="102"/>
      <c r="AG20" s="102"/>
      <c r="AH20" s="103"/>
      <c r="AI20" s="102"/>
      <c r="AJ20" s="102"/>
      <c r="AK20" s="103"/>
      <c r="AL20" s="102">
        <v>6.0000000000000001E-3</v>
      </c>
      <c r="AM20" s="102">
        <v>1.5E-3</v>
      </c>
      <c r="AN20" s="103">
        <f t="shared" si="14"/>
        <v>0.25</v>
      </c>
      <c r="AO20" s="102"/>
      <c r="AP20" s="102"/>
      <c r="AQ20" s="103"/>
      <c r="AR20" s="102"/>
      <c r="AS20" s="102"/>
      <c r="AT20" s="103"/>
      <c r="AU20" s="102">
        <v>1.2E-2</v>
      </c>
      <c r="AV20" s="102">
        <v>0.19500000000000001</v>
      </c>
      <c r="AW20" s="102">
        <f t="shared" si="13"/>
        <v>16.25</v>
      </c>
      <c r="AX20" s="102"/>
      <c r="AY20" s="102"/>
      <c r="AZ20" s="102"/>
      <c r="BA20" s="102"/>
      <c r="BB20" s="102"/>
      <c r="BC20" s="103"/>
      <c r="BD20" s="102"/>
      <c r="BE20" s="102"/>
      <c r="BF20" s="102"/>
      <c r="BG20" s="104">
        <v>11.345000000000001</v>
      </c>
      <c r="BH20" s="104">
        <v>44.55915000000001</v>
      </c>
      <c r="BI20" s="80">
        <f t="shared" si="3"/>
        <v>3.9276465403261356</v>
      </c>
    </row>
    <row r="21" spans="1:61" ht="18" x14ac:dyDescent="0.35">
      <c r="A21" s="91" t="s">
        <v>42</v>
      </c>
      <c r="B21" s="100"/>
      <c r="C21" s="100"/>
      <c r="D21" s="100"/>
      <c r="E21" s="101">
        <v>16.574999999999999</v>
      </c>
      <c r="F21" s="101">
        <v>128.02000000000001</v>
      </c>
      <c r="G21" s="101">
        <f t="shared" si="0"/>
        <v>7.7236802413273011</v>
      </c>
      <c r="H21" s="101">
        <v>71.7</v>
      </c>
      <c r="I21" s="101">
        <v>69.28</v>
      </c>
      <c r="J21" s="101">
        <f t="shared" si="1"/>
        <v>0.96624825662482561</v>
      </c>
      <c r="K21" s="101">
        <v>27.869</v>
      </c>
      <c r="L21" s="101">
        <v>43.615000000000002</v>
      </c>
      <c r="M21" s="101">
        <f t="shared" si="2"/>
        <v>1.5650005382324448</v>
      </c>
      <c r="N21" s="101">
        <v>12.441000000000001</v>
      </c>
      <c r="O21" s="101">
        <v>45.481949999999998</v>
      </c>
      <c r="P21" s="101">
        <f t="shared" si="5"/>
        <v>3.6558114299493605</v>
      </c>
      <c r="Q21" s="102"/>
      <c r="R21" s="102"/>
      <c r="S21" s="102"/>
      <c r="T21" s="103">
        <v>19.61</v>
      </c>
      <c r="U21" s="103">
        <v>10.86327</v>
      </c>
      <c r="V21" s="103">
        <f t="shared" si="6"/>
        <v>0.55396583375828656</v>
      </c>
      <c r="W21" s="102"/>
      <c r="X21" s="102"/>
      <c r="Y21" s="103"/>
      <c r="Z21" s="102"/>
      <c r="AA21" s="102"/>
      <c r="AB21" s="103"/>
      <c r="AC21" s="102"/>
      <c r="AD21" s="102"/>
      <c r="AE21" s="103"/>
      <c r="AF21" s="102"/>
      <c r="AG21" s="102"/>
      <c r="AH21" s="103"/>
      <c r="AI21" s="102"/>
      <c r="AJ21" s="102"/>
      <c r="AK21" s="103"/>
      <c r="AL21" s="102"/>
      <c r="AM21" s="102"/>
      <c r="AN21" s="103"/>
      <c r="AO21" s="102"/>
      <c r="AP21" s="102"/>
      <c r="AQ21" s="103"/>
      <c r="AR21" s="102"/>
      <c r="AS21" s="102"/>
      <c r="AT21" s="103"/>
      <c r="AU21" s="102"/>
      <c r="AV21" s="102"/>
      <c r="AW21" s="102"/>
      <c r="AX21" s="102"/>
      <c r="AY21" s="102"/>
      <c r="AZ21" s="102"/>
      <c r="BA21" s="102"/>
      <c r="BB21" s="102"/>
      <c r="BC21" s="103"/>
      <c r="BD21" s="102"/>
      <c r="BE21" s="102"/>
      <c r="BF21" s="102"/>
      <c r="BG21" s="104">
        <v>148.19499999999999</v>
      </c>
      <c r="BH21" s="104">
        <v>297.26022</v>
      </c>
      <c r="BI21" s="80">
        <f t="shared" si="3"/>
        <v>2.0058721279395391</v>
      </c>
    </row>
    <row r="22" spans="1:61" ht="18" x14ac:dyDescent="0.35">
      <c r="A22" s="91" t="s">
        <v>44</v>
      </c>
      <c r="B22" s="100"/>
      <c r="C22" s="100"/>
      <c r="D22" s="100"/>
      <c r="E22" s="100"/>
      <c r="F22" s="100"/>
      <c r="G22" s="101"/>
      <c r="H22" s="101">
        <v>8.7759999999999998</v>
      </c>
      <c r="I22" s="101">
        <v>16.954999999999998</v>
      </c>
      <c r="J22" s="101">
        <f t="shared" si="1"/>
        <v>1.9319735642661804</v>
      </c>
      <c r="K22" s="101">
        <v>0.95199999999999996</v>
      </c>
      <c r="L22" s="101">
        <v>3.4689999999999999</v>
      </c>
      <c r="M22" s="101">
        <f t="shared" si="2"/>
        <v>3.64390756302521</v>
      </c>
      <c r="N22" s="101">
        <v>7.7480000000000002</v>
      </c>
      <c r="O22" s="101">
        <v>92.641999999999996</v>
      </c>
      <c r="P22" s="101">
        <f t="shared" si="5"/>
        <v>11.956892101187403</v>
      </c>
      <c r="Q22" s="102"/>
      <c r="R22" s="102"/>
      <c r="S22" s="102"/>
      <c r="T22" s="102"/>
      <c r="U22" s="102"/>
      <c r="V22" s="103"/>
      <c r="W22" s="102"/>
      <c r="X22" s="102"/>
      <c r="Y22" s="103"/>
      <c r="Z22" s="102"/>
      <c r="AA22" s="102"/>
      <c r="AB22" s="103"/>
      <c r="AC22" s="103">
        <v>12.538</v>
      </c>
      <c r="AD22" s="103">
        <v>2.3889999999999998</v>
      </c>
      <c r="AE22" s="103">
        <f t="shared" si="9"/>
        <v>0.19054075610145157</v>
      </c>
      <c r="AF22" s="102"/>
      <c r="AG22" s="102"/>
      <c r="AH22" s="103"/>
      <c r="AI22" s="103">
        <v>4.5640000000000001</v>
      </c>
      <c r="AJ22" s="103">
        <v>6.6050000000000004</v>
      </c>
      <c r="AK22" s="103">
        <f t="shared" si="12"/>
        <v>1.4471954425942157</v>
      </c>
      <c r="AL22" s="102"/>
      <c r="AM22" s="102"/>
      <c r="AN22" s="103"/>
      <c r="AO22" s="102"/>
      <c r="AP22" s="102"/>
      <c r="AQ22" s="103"/>
      <c r="AR22" s="102"/>
      <c r="AS22" s="102"/>
      <c r="AT22" s="103"/>
      <c r="AU22" s="102"/>
      <c r="AV22" s="102"/>
      <c r="AW22" s="102"/>
      <c r="AX22" s="102"/>
      <c r="AY22" s="102"/>
      <c r="AZ22" s="102"/>
      <c r="BA22" s="102"/>
      <c r="BB22" s="102"/>
      <c r="BC22" s="103"/>
      <c r="BD22" s="102"/>
      <c r="BE22" s="102"/>
      <c r="BF22" s="102"/>
      <c r="BG22" s="104">
        <v>34.578000000000003</v>
      </c>
      <c r="BH22" s="104">
        <v>122.06</v>
      </c>
      <c r="BI22" s="80">
        <f t="shared" si="3"/>
        <v>3.5299901671583087</v>
      </c>
    </row>
    <row r="23" spans="1:61" ht="18" x14ac:dyDescent="0.35">
      <c r="A23" s="91" t="s">
        <v>45</v>
      </c>
      <c r="B23" s="100"/>
      <c r="C23" s="100"/>
      <c r="D23" s="100"/>
      <c r="E23" s="101">
        <v>0.107</v>
      </c>
      <c r="F23" s="101">
        <v>0.373</v>
      </c>
      <c r="G23" s="101">
        <f t="shared" si="0"/>
        <v>3.485981308411215</v>
      </c>
      <c r="H23" s="105">
        <v>9.8320000000000007</v>
      </c>
      <c r="I23" s="105">
        <v>20.033000000000001</v>
      </c>
      <c r="J23" s="101">
        <f t="shared" si="1"/>
        <v>2.0375305126118795</v>
      </c>
      <c r="K23" s="105">
        <v>0.17899999999999999</v>
      </c>
      <c r="L23" s="105">
        <v>0.222</v>
      </c>
      <c r="M23" s="101">
        <f t="shared" si="2"/>
        <v>1.240223463687151</v>
      </c>
      <c r="N23" s="105">
        <v>68.012</v>
      </c>
      <c r="O23" s="105">
        <v>416.29899999999998</v>
      </c>
      <c r="P23" s="101">
        <f t="shared" si="5"/>
        <v>6.1209639475386695</v>
      </c>
      <c r="Q23" s="102"/>
      <c r="R23" s="102"/>
      <c r="S23" s="102"/>
      <c r="T23" s="102">
        <v>60.039000000000001</v>
      </c>
      <c r="U23" s="102">
        <v>89.340999999999994</v>
      </c>
      <c r="V23" s="103">
        <f t="shared" si="6"/>
        <v>1.4880494345342192</v>
      </c>
      <c r="W23" s="102">
        <v>779.77499999999998</v>
      </c>
      <c r="X23" s="102">
        <v>428.14600000000002</v>
      </c>
      <c r="Y23" s="103">
        <f t="shared" si="10"/>
        <v>0.54906351191048708</v>
      </c>
      <c r="Z23" s="102">
        <v>26.25</v>
      </c>
      <c r="AA23" s="102">
        <v>25.620999999999999</v>
      </c>
      <c r="AB23" s="103">
        <f t="shared" si="8"/>
        <v>0.97603809523809515</v>
      </c>
      <c r="AC23" s="102">
        <v>52.661000000000001</v>
      </c>
      <c r="AD23" s="102">
        <v>66.742000000000004</v>
      </c>
      <c r="AE23" s="103">
        <f t="shared" si="9"/>
        <v>1.2673895292531476</v>
      </c>
      <c r="AF23" s="102">
        <v>10.875</v>
      </c>
      <c r="AG23" s="102">
        <v>6.1369999999999996</v>
      </c>
      <c r="AH23" s="103">
        <f t="shared" si="7"/>
        <v>0.56432183908045974</v>
      </c>
      <c r="AI23" s="102">
        <v>12.8</v>
      </c>
      <c r="AJ23" s="102">
        <v>6</v>
      </c>
      <c r="AK23" s="103">
        <f t="shared" si="12"/>
        <v>0.46875</v>
      </c>
      <c r="AL23" s="102"/>
      <c r="AM23" s="102"/>
      <c r="AN23" s="103"/>
      <c r="AO23" s="102"/>
      <c r="AP23" s="102"/>
      <c r="AQ23" s="103"/>
      <c r="AR23" s="102"/>
      <c r="AS23" s="102"/>
      <c r="AT23" s="103"/>
      <c r="AU23" s="102"/>
      <c r="AV23" s="102"/>
      <c r="AW23" s="102"/>
      <c r="AX23" s="102"/>
      <c r="AY23" s="102"/>
      <c r="AZ23" s="102"/>
      <c r="BA23" s="102"/>
      <c r="BB23" s="102"/>
      <c r="BC23" s="103"/>
      <c r="BD23" s="102"/>
      <c r="BE23" s="102"/>
      <c r="BF23" s="102"/>
      <c r="BG23" s="104">
        <v>1020.53</v>
      </c>
      <c r="BH23" s="104">
        <v>1058.914</v>
      </c>
      <c r="BI23" s="80">
        <f t="shared" si="3"/>
        <v>1.0376118291475998</v>
      </c>
    </row>
    <row r="24" spans="1:61" ht="18" x14ac:dyDescent="0.35">
      <c r="A24" s="91" t="s">
        <v>46</v>
      </c>
      <c r="B24" s="106"/>
      <c r="C24" s="106"/>
      <c r="D24" s="100"/>
      <c r="E24" s="101">
        <v>15.643000000000001</v>
      </c>
      <c r="F24" s="101">
        <v>85.152299999999997</v>
      </c>
      <c r="G24" s="101">
        <f t="shared" si="0"/>
        <v>5.4434763152847916</v>
      </c>
      <c r="H24" s="106"/>
      <c r="I24" s="106"/>
      <c r="J24" s="101"/>
      <c r="K24" s="101">
        <v>5.1779999999999999</v>
      </c>
      <c r="L24" s="101">
        <v>16.036999999999999</v>
      </c>
      <c r="M24" s="101">
        <f t="shared" si="2"/>
        <v>3.0971417535728079</v>
      </c>
      <c r="N24" s="106"/>
      <c r="O24" s="106"/>
      <c r="P24" s="101"/>
      <c r="Q24" s="102">
        <v>21.792999999999999</v>
      </c>
      <c r="R24" s="102">
        <v>5.3460000000000001</v>
      </c>
      <c r="S24" s="102">
        <f t="shared" si="11"/>
        <v>0.24530812646262562</v>
      </c>
      <c r="T24" s="102"/>
      <c r="U24" s="102"/>
      <c r="V24" s="103"/>
      <c r="W24" s="102"/>
      <c r="X24" s="102"/>
      <c r="Y24" s="103"/>
      <c r="Z24" s="102"/>
      <c r="AA24" s="102"/>
      <c r="AB24" s="103"/>
      <c r="AC24" s="102"/>
      <c r="AD24" s="102"/>
      <c r="AE24" s="103"/>
      <c r="AF24" s="102"/>
      <c r="AG24" s="102"/>
      <c r="AH24" s="103"/>
      <c r="AI24" s="102"/>
      <c r="AJ24" s="102"/>
      <c r="AK24" s="103"/>
      <c r="AL24" s="102"/>
      <c r="AM24" s="102"/>
      <c r="AN24" s="103"/>
      <c r="AO24" s="102"/>
      <c r="AP24" s="102"/>
      <c r="AQ24" s="103"/>
      <c r="AR24" s="102"/>
      <c r="AS24" s="102"/>
      <c r="AT24" s="103"/>
      <c r="AU24" s="102"/>
      <c r="AV24" s="102"/>
      <c r="AW24" s="102"/>
      <c r="AX24" s="102"/>
      <c r="AY24" s="102"/>
      <c r="AZ24" s="102"/>
      <c r="BA24" s="102"/>
      <c r="BB24" s="102"/>
      <c r="BC24" s="103"/>
      <c r="BD24" s="102"/>
      <c r="BE24" s="102"/>
      <c r="BF24" s="102"/>
      <c r="BG24" s="104">
        <v>42.614000000000004</v>
      </c>
      <c r="BH24" s="104">
        <v>106.53530000000001</v>
      </c>
      <c r="BI24" s="80">
        <f t="shared" si="3"/>
        <v>2.5000070399399257</v>
      </c>
    </row>
    <row r="25" spans="1:61" ht="18" x14ac:dyDescent="0.35">
      <c r="A25" s="91" t="s">
        <v>47</v>
      </c>
      <c r="B25" s="100">
        <v>6.0039999999999996</v>
      </c>
      <c r="C25" s="100">
        <v>1.321</v>
      </c>
      <c r="D25" s="100">
        <f t="shared" si="4"/>
        <v>0.22001998667554964</v>
      </c>
      <c r="E25" s="101">
        <v>0.182</v>
      </c>
      <c r="F25" s="101">
        <v>2.6909999999999998</v>
      </c>
      <c r="G25" s="101">
        <f t="shared" si="0"/>
        <v>14.785714285714285</v>
      </c>
      <c r="H25" s="105">
        <v>48.848999999999997</v>
      </c>
      <c r="I25" s="105">
        <v>22.917000000000002</v>
      </c>
      <c r="J25" s="101">
        <f t="shared" si="1"/>
        <v>0.46913959344101214</v>
      </c>
      <c r="K25" s="105">
        <v>18.100999999999999</v>
      </c>
      <c r="L25" s="105">
        <v>70.629000000000005</v>
      </c>
      <c r="M25" s="101">
        <f t="shared" si="2"/>
        <v>3.9019391193856698</v>
      </c>
      <c r="N25" s="105">
        <v>1.238</v>
      </c>
      <c r="O25" s="105">
        <v>7.15</v>
      </c>
      <c r="P25" s="101">
        <f t="shared" si="5"/>
        <v>5.7754442649434576</v>
      </c>
      <c r="Q25" s="102">
        <v>3.8130000000000002</v>
      </c>
      <c r="R25" s="102">
        <v>0.34499999999999997</v>
      </c>
      <c r="S25" s="102">
        <f t="shared" si="11"/>
        <v>9.0479937057435081E-2</v>
      </c>
      <c r="T25" s="102">
        <v>7.7880000000000003</v>
      </c>
      <c r="U25" s="102">
        <v>3.952</v>
      </c>
      <c r="V25" s="103">
        <f t="shared" si="6"/>
        <v>0.50744735490498205</v>
      </c>
      <c r="W25" s="102"/>
      <c r="X25" s="102"/>
      <c r="Y25" s="103"/>
      <c r="Z25" s="102"/>
      <c r="AA25" s="102"/>
      <c r="AB25" s="103"/>
      <c r="AC25" s="102"/>
      <c r="AD25" s="102"/>
      <c r="AE25" s="103"/>
      <c r="AF25" s="102"/>
      <c r="AG25" s="102"/>
      <c r="AH25" s="103"/>
      <c r="AI25" s="102"/>
      <c r="AJ25" s="102"/>
      <c r="AK25" s="103"/>
      <c r="AL25" s="102"/>
      <c r="AM25" s="102"/>
      <c r="AN25" s="103"/>
      <c r="AO25" s="102"/>
      <c r="AP25" s="102"/>
      <c r="AQ25" s="103"/>
      <c r="AR25" s="102">
        <v>1.0269999999999999</v>
      </c>
      <c r="AS25" s="102">
        <v>0.996</v>
      </c>
      <c r="AT25" s="103">
        <f t="shared" si="16"/>
        <v>0.96981499513145086</v>
      </c>
      <c r="AU25" s="102">
        <v>14.896000000000001</v>
      </c>
      <c r="AV25" s="102">
        <v>46.072000000000003</v>
      </c>
      <c r="AW25" s="102">
        <f t="shared" si="13"/>
        <v>3.0929108485499461</v>
      </c>
      <c r="AX25" s="102"/>
      <c r="AY25" s="102"/>
      <c r="AZ25" s="102"/>
      <c r="BA25" s="102"/>
      <c r="BB25" s="102"/>
      <c r="BC25" s="103"/>
      <c r="BD25" s="102"/>
      <c r="BE25" s="102"/>
      <c r="BF25" s="102"/>
      <c r="BG25" s="104">
        <v>101.898</v>
      </c>
      <c r="BH25" s="104">
        <v>156.07300000000001</v>
      </c>
      <c r="BI25" s="80">
        <f t="shared" si="3"/>
        <v>1.5316591100904828</v>
      </c>
    </row>
    <row r="26" spans="1:61" ht="18" x14ac:dyDescent="0.35">
      <c r="A26" s="91" t="s">
        <v>56</v>
      </c>
      <c r="B26" s="100"/>
      <c r="C26" s="100"/>
      <c r="D26" s="100"/>
      <c r="E26" s="101">
        <v>2.4089999999999998</v>
      </c>
      <c r="F26" s="101">
        <v>15.903</v>
      </c>
      <c r="G26" s="101">
        <f t="shared" si="0"/>
        <v>6.601494396014945</v>
      </c>
      <c r="H26" s="105">
        <v>80.578999999999994</v>
      </c>
      <c r="I26" s="105">
        <v>436.37799999999999</v>
      </c>
      <c r="J26" s="101">
        <f t="shared" si="1"/>
        <v>5.4155301008947747</v>
      </c>
      <c r="K26" s="105">
        <v>55.444000000000003</v>
      </c>
      <c r="L26" s="105">
        <v>386.596</v>
      </c>
      <c r="M26" s="101">
        <f t="shared" si="2"/>
        <v>6.9727292403145515</v>
      </c>
      <c r="N26" s="101">
        <v>2.3E-2</v>
      </c>
      <c r="O26" s="101">
        <v>0.108</v>
      </c>
      <c r="P26" s="101">
        <f t="shared" si="5"/>
        <v>4.6956521739130439</v>
      </c>
      <c r="Q26" s="102"/>
      <c r="R26" s="102"/>
      <c r="S26" s="102"/>
      <c r="T26" s="103">
        <v>0.63300000000000001</v>
      </c>
      <c r="U26" s="103">
        <v>0.58699999999999997</v>
      </c>
      <c r="V26" s="103">
        <f t="shared" si="6"/>
        <v>0.9273301737756714</v>
      </c>
      <c r="W26" s="102"/>
      <c r="X26" s="102"/>
      <c r="Y26" s="103"/>
      <c r="Z26" s="102"/>
      <c r="AA26" s="102"/>
      <c r="AB26" s="103"/>
      <c r="AC26" s="102"/>
      <c r="AD26" s="102"/>
      <c r="AE26" s="103"/>
      <c r="AF26" s="103">
        <v>1.29</v>
      </c>
      <c r="AG26" s="103">
        <v>0.86099999999999999</v>
      </c>
      <c r="AH26" s="103">
        <f t="shared" si="7"/>
        <v>0.66744186046511622</v>
      </c>
      <c r="AI26" s="102"/>
      <c r="AJ26" s="102"/>
      <c r="AK26" s="103"/>
      <c r="AL26" s="102"/>
      <c r="AM26" s="102"/>
      <c r="AN26" s="103"/>
      <c r="AO26" s="102"/>
      <c r="AP26" s="102"/>
      <c r="AQ26" s="103"/>
      <c r="AR26" s="102"/>
      <c r="AS26" s="102"/>
      <c r="AT26" s="103"/>
      <c r="AU26" s="103">
        <v>2.0129999999999999</v>
      </c>
      <c r="AV26" s="103">
        <v>12.661</v>
      </c>
      <c r="AW26" s="102">
        <f t="shared" si="13"/>
        <v>6.2896174863387984</v>
      </c>
      <c r="AX26" s="102"/>
      <c r="AY26" s="102"/>
      <c r="AZ26" s="102"/>
      <c r="BA26" s="102"/>
      <c r="BB26" s="102"/>
      <c r="BC26" s="103"/>
      <c r="BD26" s="102"/>
      <c r="BE26" s="102"/>
      <c r="BF26" s="102"/>
      <c r="BG26" s="104">
        <v>142.39100000000002</v>
      </c>
      <c r="BH26" s="104">
        <v>853.09399999999982</v>
      </c>
      <c r="BI26" s="80">
        <f t="shared" si="3"/>
        <v>5.9912073094507354</v>
      </c>
    </row>
    <row r="27" spans="1:61" ht="18" x14ac:dyDescent="0.35">
      <c r="A27" s="91" t="s">
        <v>48</v>
      </c>
      <c r="B27" s="100">
        <v>0.223</v>
      </c>
      <c r="C27" s="100">
        <v>0.13300000000000001</v>
      </c>
      <c r="D27" s="100">
        <f t="shared" si="4"/>
        <v>0.59641255605381172</v>
      </c>
      <c r="E27" s="101">
        <v>1.875</v>
      </c>
      <c r="F27" s="101">
        <v>15.938000000000001</v>
      </c>
      <c r="G27" s="101">
        <f t="shared" si="0"/>
        <v>8.5002666666666666</v>
      </c>
      <c r="H27" s="105">
        <v>2.8119999999999998</v>
      </c>
      <c r="I27" s="105">
        <v>6.6639999999999997</v>
      </c>
      <c r="J27" s="101">
        <f t="shared" si="1"/>
        <v>2.3698435277382646</v>
      </c>
      <c r="K27" s="105">
        <v>1.68</v>
      </c>
      <c r="L27" s="105">
        <v>2.0461999999999998</v>
      </c>
      <c r="M27" s="101">
        <f t="shared" si="2"/>
        <v>1.2179761904761903</v>
      </c>
      <c r="N27" s="101"/>
      <c r="O27" s="101"/>
      <c r="P27" s="101"/>
      <c r="Q27" s="102"/>
      <c r="R27" s="102"/>
      <c r="S27" s="102"/>
      <c r="T27" s="103"/>
      <c r="U27" s="103"/>
      <c r="V27" s="103"/>
      <c r="W27" s="102"/>
      <c r="X27" s="102"/>
      <c r="Y27" s="103"/>
      <c r="Z27" s="102"/>
      <c r="AA27" s="102"/>
      <c r="AB27" s="103"/>
      <c r="AC27" s="102"/>
      <c r="AD27" s="102"/>
      <c r="AE27" s="103"/>
      <c r="AF27" s="102"/>
      <c r="AG27" s="102"/>
      <c r="AH27" s="103"/>
      <c r="AI27" s="102"/>
      <c r="AJ27" s="102"/>
      <c r="AK27" s="103"/>
      <c r="AL27" s="102"/>
      <c r="AM27" s="102"/>
      <c r="AN27" s="103"/>
      <c r="AO27" s="102"/>
      <c r="AP27" s="102"/>
      <c r="AQ27" s="103"/>
      <c r="AR27" s="102"/>
      <c r="AS27" s="102"/>
      <c r="AT27" s="103"/>
      <c r="AU27" s="102"/>
      <c r="AV27" s="102"/>
      <c r="AW27" s="102"/>
      <c r="AX27" s="102"/>
      <c r="AY27" s="102"/>
      <c r="AZ27" s="102"/>
      <c r="BA27" s="102"/>
      <c r="BB27" s="102"/>
      <c r="BC27" s="103"/>
      <c r="BD27" s="102"/>
      <c r="BE27" s="102"/>
      <c r="BF27" s="102"/>
      <c r="BG27" s="104">
        <v>6.59</v>
      </c>
      <c r="BH27" s="104">
        <v>24.781199999999998</v>
      </c>
      <c r="BI27" s="80">
        <f t="shared" si="3"/>
        <v>3.7604248861911986</v>
      </c>
    </row>
    <row r="28" spans="1:61" ht="18" x14ac:dyDescent="0.35">
      <c r="A28" s="91" t="s">
        <v>49</v>
      </c>
      <c r="B28" s="100"/>
      <c r="C28" s="100"/>
      <c r="D28" s="100"/>
      <c r="E28" s="101">
        <v>0.90400000000000003</v>
      </c>
      <c r="F28" s="101">
        <v>4.2939999999999996</v>
      </c>
      <c r="G28" s="101">
        <f t="shared" si="0"/>
        <v>4.7499999999999991</v>
      </c>
      <c r="H28" s="101">
        <v>13.763</v>
      </c>
      <c r="I28" s="101">
        <v>12.715999999999999</v>
      </c>
      <c r="J28" s="101">
        <f t="shared" si="1"/>
        <v>0.92392646951972679</v>
      </c>
      <c r="K28" s="101">
        <v>1.42</v>
      </c>
      <c r="L28" s="101">
        <v>1.913</v>
      </c>
      <c r="M28" s="101">
        <f t="shared" si="2"/>
        <v>1.3471830985915494</v>
      </c>
      <c r="N28" s="101">
        <v>34.313000000000002</v>
      </c>
      <c r="O28" s="101">
        <v>227.33699999999999</v>
      </c>
      <c r="P28" s="101">
        <f t="shared" si="5"/>
        <v>6.6253897939556428</v>
      </c>
      <c r="Q28" s="102"/>
      <c r="R28" s="102"/>
      <c r="S28" s="102"/>
      <c r="T28" s="103">
        <v>6.6349999999999998</v>
      </c>
      <c r="U28" s="103">
        <v>5.2590000000000003</v>
      </c>
      <c r="V28" s="103">
        <f t="shared" si="6"/>
        <v>0.79261492087415231</v>
      </c>
      <c r="W28" s="103">
        <v>2E-3</v>
      </c>
      <c r="X28" s="103">
        <v>7.0000000000000001E-3</v>
      </c>
      <c r="Y28" s="103">
        <f t="shared" si="10"/>
        <v>3.5</v>
      </c>
      <c r="Z28" s="103">
        <v>0.71899999999999997</v>
      </c>
      <c r="AA28" s="103">
        <v>0.80300000000000005</v>
      </c>
      <c r="AB28" s="103">
        <f t="shared" si="8"/>
        <v>1.1168289290681503</v>
      </c>
      <c r="AC28" s="103">
        <v>0.33800000000000002</v>
      </c>
      <c r="AD28" s="103">
        <v>0.30199999999999999</v>
      </c>
      <c r="AE28" s="103">
        <f t="shared" si="9"/>
        <v>0.89349112426035493</v>
      </c>
      <c r="AF28" s="102"/>
      <c r="AG28" s="102"/>
      <c r="AH28" s="103"/>
      <c r="AI28" s="102"/>
      <c r="AJ28" s="102"/>
      <c r="AK28" s="103"/>
      <c r="AL28" s="102"/>
      <c r="AM28" s="102"/>
      <c r="AN28" s="103"/>
      <c r="AO28" s="102"/>
      <c r="AP28" s="102"/>
      <c r="AQ28" s="103"/>
      <c r="AR28" s="102"/>
      <c r="AS28" s="102"/>
      <c r="AT28" s="103"/>
      <c r="AU28" s="102"/>
      <c r="AV28" s="102"/>
      <c r="AW28" s="102"/>
      <c r="AX28" s="102"/>
      <c r="AY28" s="102"/>
      <c r="AZ28" s="102"/>
      <c r="BA28" s="102"/>
      <c r="BB28" s="102"/>
      <c r="BC28" s="103"/>
      <c r="BD28" s="103">
        <v>327.35700000000003</v>
      </c>
      <c r="BE28" s="103">
        <v>33.173999999999999</v>
      </c>
      <c r="BF28" s="103">
        <f>BE28/BD28</f>
        <v>0.10133890523190278</v>
      </c>
      <c r="BG28" s="104">
        <v>385.45100000000002</v>
      </c>
      <c r="BH28" s="104">
        <v>285.80500000000001</v>
      </c>
      <c r="BI28" s="80">
        <f t="shared" si="3"/>
        <v>0.74148205608494977</v>
      </c>
    </row>
    <row r="29" spans="1:61" ht="18" x14ac:dyDescent="0.35">
      <c r="A29" s="91" t="s">
        <v>50</v>
      </c>
      <c r="B29" s="100"/>
      <c r="C29" s="100"/>
      <c r="D29" s="100"/>
      <c r="E29" s="101">
        <v>5.0613700000000001</v>
      </c>
      <c r="F29" s="101">
        <v>49.683929999999997</v>
      </c>
      <c r="G29" s="101">
        <f t="shared" si="0"/>
        <v>9.8163007249025451</v>
      </c>
      <c r="H29" s="101">
        <v>2.8477600000000001</v>
      </c>
      <c r="I29" s="101">
        <v>9.6320200000000007</v>
      </c>
      <c r="J29" s="101">
        <f t="shared" si="1"/>
        <v>3.3823145208865917</v>
      </c>
      <c r="K29" s="101">
        <v>1.76901</v>
      </c>
      <c r="L29" s="101">
        <v>2.9497300000000002</v>
      </c>
      <c r="M29" s="101">
        <f t="shared" si="2"/>
        <v>1.6674467640092483</v>
      </c>
      <c r="N29" s="101">
        <v>2.0919599999999998</v>
      </c>
      <c r="O29" s="101">
        <v>11.44159</v>
      </c>
      <c r="P29" s="101">
        <f t="shared" si="5"/>
        <v>5.4693158568997502</v>
      </c>
      <c r="Q29" s="102">
        <v>6.7419999999999994E-2</v>
      </c>
      <c r="R29" s="102">
        <v>7.7679999999999999E-2</v>
      </c>
      <c r="S29" s="102">
        <f t="shared" si="11"/>
        <v>1.1521803619104125</v>
      </c>
      <c r="T29" s="103">
        <v>1.4583900000000001</v>
      </c>
      <c r="U29" s="103">
        <v>4.1484300000000003</v>
      </c>
      <c r="V29" s="103">
        <f t="shared" si="6"/>
        <v>2.8445271840865614</v>
      </c>
      <c r="W29" s="103"/>
      <c r="X29" s="103"/>
      <c r="Y29" s="103"/>
      <c r="Z29" s="103"/>
      <c r="AA29" s="103"/>
      <c r="AB29" s="103"/>
      <c r="AC29" s="103">
        <v>0.69233</v>
      </c>
      <c r="AD29" s="103">
        <v>3.8519899999999998</v>
      </c>
      <c r="AE29" s="103">
        <f t="shared" si="9"/>
        <v>5.5638062773532848</v>
      </c>
      <c r="AF29" s="102"/>
      <c r="AG29" s="102"/>
      <c r="AH29" s="103"/>
      <c r="AI29" s="102"/>
      <c r="AJ29" s="102"/>
      <c r="AK29" s="103"/>
      <c r="AL29" s="102"/>
      <c r="AM29" s="102"/>
      <c r="AN29" s="103"/>
      <c r="AO29" s="102"/>
      <c r="AP29" s="102"/>
      <c r="AQ29" s="103"/>
      <c r="AR29" s="102"/>
      <c r="AS29" s="102"/>
      <c r="AT29" s="103"/>
      <c r="AU29" s="102"/>
      <c r="AV29" s="102"/>
      <c r="AW29" s="102"/>
      <c r="AX29" s="102"/>
      <c r="AY29" s="102"/>
      <c r="AZ29" s="102"/>
      <c r="BA29" s="102"/>
      <c r="BB29" s="102"/>
      <c r="BC29" s="103"/>
      <c r="BD29" s="102"/>
      <c r="BE29" s="102"/>
      <c r="BF29" s="102"/>
      <c r="BG29" s="104">
        <v>13.988240000000001</v>
      </c>
      <c r="BH29" s="104">
        <v>81.785370000000015</v>
      </c>
      <c r="BI29" s="80">
        <f t="shared" si="3"/>
        <v>5.8467233905051677</v>
      </c>
    </row>
    <row r="30" spans="1:61" ht="18" x14ac:dyDescent="0.35">
      <c r="A30" s="91" t="s">
        <v>51</v>
      </c>
      <c r="B30" s="100">
        <v>0.32500000000000001</v>
      </c>
      <c r="C30" s="100">
        <v>8.6999999999999994E-2</v>
      </c>
      <c r="D30" s="100">
        <f t="shared" si="4"/>
        <v>0.26769230769230767</v>
      </c>
      <c r="E30" s="101">
        <v>12.51</v>
      </c>
      <c r="F30" s="101">
        <v>136.61000000000001</v>
      </c>
      <c r="G30" s="101">
        <f t="shared" si="0"/>
        <v>10.920063948840928</v>
      </c>
      <c r="H30" s="101">
        <v>65.409000000000006</v>
      </c>
      <c r="I30" s="101">
        <v>103.946</v>
      </c>
      <c r="J30" s="101">
        <f t="shared" si="1"/>
        <v>1.58916968612882</v>
      </c>
      <c r="K30" s="101">
        <v>17.812000000000001</v>
      </c>
      <c r="L30" s="101">
        <v>45.648000000000003</v>
      </c>
      <c r="M30" s="101">
        <f t="shared" si="2"/>
        <v>2.562766674152257</v>
      </c>
      <c r="N30" s="101">
        <v>3.9249999999999998</v>
      </c>
      <c r="O30" s="101">
        <v>37.468000000000004</v>
      </c>
      <c r="P30" s="101">
        <f t="shared" si="5"/>
        <v>9.5459872611464984</v>
      </c>
      <c r="Q30" s="102">
        <v>2.992</v>
      </c>
      <c r="R30" s="102">
        <v>0.83299999999999996</v>
      </c>
      <c r="S30" s="102">
        <f t="shared" si="11"/>
        <v>0.27840909090909088</v>
      </c>
      <c r="T30" s="103">
        <v>11.895</v>
      </c>
      <c r="U30" s="103">
        <v>15.78</v>
      </c>
      <c r="V30" s="103">
        <f t="shared" si="6"/>
        <v>1.326607818411097</v>
      </c>
      <c r="W30" s="103">
        <v>1.552</v>
      </c>
      <c r="X30" s="103">
        <v>1.56</v>
      </c>
      <c r="Y30" s="103">
        <f t="shared" si="10"/>
        <v>1.0051546391752577</v>
      </c>
      <c r="Z30" s="103">
        <v>1.052</v>
      </c>
      <c r="AA30" s="103">
        <v>1.077</v>
      </c>
      <c r="AB30" s="103">
        <f t="shared" si="8"/>
        <v>1.023764258555133</v>
      </c>
      <c r="AC30" s="103">
        <v>2.5950000000000002</v>
      </c>
      <c r="AD30" s="103">
        <v>2.91</v>
      </c>
      <c r="AE30" s="103">
        <f t="shared" si="9"/>
        <v>1.1213872832369942</v>
      </c>
      <c r="AF30" s="102"/>
      <c r="AG30" s="102"/>
      <c r="AH30" s="103"/>
      <c r="AI30" s="103"/>
      <c r="AJ30" s="103"/>
      <c r="AK30" s="103"/>
      <c r="AL30" s="102">
        <v>0.81</v>
      </c>
      <c r="AM30" s="102">
        <v>2.5099999999999998</v>
      </c>
      <c r="AN30" s="103">
        <f t="shared" si="14"/>
        <v>3.098765432098765</v>
      </c>
      <c r="AO30" s="102"/>
      <c r="AP30" s="102"/>
      <c r="AQ30" s="103"/>
      <c r="AR30" s="102"/>
      <c r="AS30" s="102"/>
      <c r="AT30" s="103"/>
      <c r="AU30" s="102"/>
      <c r="AV30" s="102"/>
      <c r="AW30" s="102"/>
      <c r="AX30" s="102"/>
      <c r="AY30" s="102"/>
      <c r="AZ30" s="102"/>
      <c r="BA30" s="102"/>
      <c r="BB30" s="102"/>
      <c r="BC30" s="103"/>
      <c r="BD30" s="102"/>
      <c r="BE30" s="102"/>
      <c r="BF30" s="102"/>
      <c r="BG30" s="104">
        <v>120.87700000000001</v>
      </c>
      <c r="BH30" s="104">
        <v>348.42899999999997</v>
      </c>
      <c r="BI30" s="80">
        <f t="shared" si="3"/>
        <v>2.8825086658338637</v>
      </c>
    </row>
    <row r="31" spans="1:61" ht="18" x14ac:dyDescent="0.35">
      <c r="A31" s="91" t="s">
        <v>75</v>
      </c>
      <c r="B31" s="102">
        <v>0.94221999999999995</v>
      </c>
      <c r="C31" s="102">
        <v>0.35001000000000004</v>
      </c>
      <c r="D31" s="100">
        <f t="shared" si="4"/>
        <v>0.37147375347583372</v>
      </c>
      <c r="E31" s="102">
        <v>0.1216</v>
      </c>
      <c r="F31" s="102">
        <v>0.60721000000000003</v>
      </c>
      <c r="G31" s="101">
        <f t="shared" si="0"/>
        <v>4.9935032894736846</v>
      </c>
      <c r="H31" s="102">
        <v>7.4090000000000003E-2</v>
      </c>
      <c r="I31" s="102">
        <v>0.32743</v>
      </c>
      <c r="J31" s="101">
        <f t="shared" si="1"/>
        <v>4.419354838709677</v>
      </c>
      <c r="K31" s="102">
        <v>7.3190000000000005E-2</v>
      </c>
      <c r="L31" s="102">
        <v>0.2094</v>
      </c>
      <c r="M31" s="101">
        <f t="shared" si="2"/>
        <v>2.861046591064353</v>
      </c>
      <c r="N31" s="102"/>
      <c r="O31" s="102"/>
      <c r="P31" s="101"/>
      <c r="Q31" s="102"/>
      <c r="R31" s="102"/>
      <c r="S31" s="102"/>
      <c r="T31" s="102"/>
      <c r="U31" s="102"/>
      <c r="V31" s="103"/>
      <c r="W31" s="102"/>
      <c r="X31" s="102"/>
      <c r="Y31" s="103"/>
      <c r="Z31" s="102"/>
      <c r="AA31" s="102"/>
      <c r="AB31" s="103"/>
      <c r="AC31" s="102"/>
      <c r="AD31" s="102"/>
      <c r="AE31" s="103"/>
      <c r="AF31" s="102"/>
      <c r="AG31" s="102"/>
      <c r="AH31" s="103"/>
      <c r="AI31" s="102"/>
      <c r="AJ31" s="102"/>
      <c r="AK31" s="103"/>
      <c r="AL31" s="102">
        <v>5.5500000000000001E-2</v>
      </c>
      <c r="AM31" s="102">
        <v>5.79E-3</v>
      </c>
      <c r="AN31" s="103">
        <f t="shared" si="14"/>
        <v>0.10432432432432433</v>
      </c>
      <c r="AO31" s="102">
        <v>0.25840000000000002</v>
      </c>
      <c r="AP31" s="102">
        <v>1.8790000000000001E-2</v>
      </c>
      <c r="AQ31" s="103">
        <f t="shared" si="15"/>
        <v>7.2716718266253866E-2</v>
      </c>
      <c r="AR31" s="102">
        <v>3.6760000000000001E-2</v>
      </c>
      <c r="AS31" s="102">
        <v>2.7299999999999998E-3</v>
      </c>
      <c r="AT31" s="103">
        <f t="shared" si="16"/>
        <v>7.4265505984766042E-2</v>
      </c>
      <c r="AU31" s="102">
        <v>5.7000000000000002E-2</v>
      </c>
      <c r="AV31" s="102">
        <v>0.30099999999999999</v>
      </c>
      <c r="AW31" s="102">
        <f t="shared" si="13"/>
        <v>5.2807017543859649</v>
      </c>
      <c r="AX31" s="102"/>
      <c r="AY31" s="102"/>
      <c r="AZ31" s="102"/>
      <c r="BA31" s="102"/>
      <c r="BB31" s="102"/>
      <c r="BC31" s="103"/>
      <c r="BD31" s="102"/>
      <c r="BE31" s="102"/>
      <c r="BF31" s="102"/>
      <c r="BG31" s="104">
        <v>1.61876</v>
      </c>
      <c r="BH31" s="104">
        <v>1.82236</v>
      </c>
      <c r="BI31" s="80">
        <f t="shared" si="3"/>
        <v>1.1257752847858855</v>
      </c>
    </row>
    <row r="32" spans="1:61" ht="17.399999999999999" x14ac:dyDescent="0.3">
      <c r="A32" s="91" t="s">
        <v>52</v>
      </c>
      <c r="B32" s="130">
        <v>257.82605000000001</v>
      </c>
      <c r="C32" s="185">
        <v>106.76653</v>
      </c>
      <c r="D32" s="107">
        <f t="shared" si="4"/>
        <v>0.41410295817664661</v>
      </c>
      <c r="E32" s="130">
        <v>178.56653</v>
      </c>
      <c r="F32" s="119">
        <v>1884.1899800000001</v>
      </c>
      <c r="G32" s="139">
        <f t="shared" si="0"/>
        <v>10.551753343697724</v>
      </c>
      <c r="H32" s="130">
        <v>684.47326999999996</v>
      </c>
      <c r="I32" s="119">
        <v>1931.2971600000001</v>
      </c>
      <c r="J32" s="108">
        <f t="shared" si="1"/>
        <v>2.8215815644634308</v>
      </c>
      <c r="K32" s="130">
        <v>296.34953999999999</v>
      </c>
      <c r="L32" s="119">
        <v>1153.0110400000001</v>
      </c>
      <c r="M32" s="139">
        <f t="shared" si="2"/>
        <v>3.890713108581171</v>
      </c>
      <c r="N32" s="130">
        <v>352.13871999999998</v>
      </c>
      <c r="O32" s="119">
        <v>2944.1546199999998</v>
      </c>
      <c r="P32" s="139">
        <f t="shared" si="5"/>
        <v>8.3607807173263993</v>
      </c>
      <c r="Q32" s="195">
        <v>85.415419999999997</v>
      </c>
      <c r="R32" s="205">
        <v>20.902930000000001</v>
      </c>
      <c r="S32" s="104">
        <f t="shared" si="11"/>
        <v>0.24472080099822727</v>
      </c>
      <c r="T32" s="130">
        <v>528.90626999999995</v>
      </c>
      <c r="U32" s="119">
        <v>701.23262</v>
      </c>
      <c r="V32" s="109">
        <f t="shared" si="6"/>
        <v>1.3258164249026583</v>
      </c>
      <c r="W32" s="130">
        <v>1276.1861899999999</v>
      </c>
      <c r="X32" s="119">
        <v>911.93984999999998</v>
      </c>
      <c r="Y32" s="109">
        <f t="shared" si="10"/>
        <v>0.71458213319170927</v>
      </c>
      <c r="Z32" s="195">
        <v>82.603870000000001</v>
      </c>
      <c r="AA32" s="185">
        <v>140.03771</v>
      </c>
      <c r="AB32" s="109">
        <f t="shared" si="8"/>
        <v>1.6952923634207453</v>
      </c>
      <c r="AC32" s="195">
        <v>126.51157000000001</v>
      </c>
      <c r="AD32" s="185">
        <v>183.81047000000001</v>
      </c>
      <c r="AE32" s="109">
        <f t="shared" si="9"/>
        <v>1.4529143065729087</v>
      </c>
      <c r="AF32" s="195">
        <v>41.133720000000004</v>
      </c>
      <c r="AG32" s="185">
        <v>28.973420000000001</v>
      </c>
      <c r="AH32" s="109">
        <f t="shared" si="7"/>
        <v>0.70437149861476178</v>
      </c>
      <c r="AI32" s="215">
        <v>32.798000000000002</v>
      </c>
      <c r="AJ32" s="185">
        <v>34.566000000000003</v>
      </c>
      <c r="AK32" s="109">
        <f>AJ32/AI32</f>
        <v>1.0539057259589</v>
      </c>
      <c r="AL32" s="215">
        <v>3.0374999999999996</v>
      </c>
      <c r="AM32" s="205">
        <v>7.5635400000000006</v>
      </c>
      <c r="AN32" s="140">
        <f t="shared" si="14"/>
        <v>2.4900543209876549</v>
      </c>
      <c r="AO32" s="215">
        <v>23.583400000000005</v>
      </c>
      <c r="AP32" s="205">
        <v>14.97279</v>
      </c>
      <c r="AQ32" s="109">
        <f t="shared" si="15"/>
        <v>0.63488682717504674</v>
      </c>
      <c r="AR32" s="215">
        <v>2.2017600000000002</v>
      </c>
      <c r="AS32" s="205">
        <v>1.2377299999999998</v>
      </c>
      <c r="AT32" s="109">
        <f t="shared" si="16"/>
        <v>0.56215482159726748</v>
      </c>
      <c r="AU32" s="195">
        <v>47.293250000000008</v>
      </c>
      <c r="AV32" s="119">
        <v>189.87064000000001</v>
      </c>
      <c r="AW32" s="141">
        <f t="shared" si="13"/>
        <v>4.0147513651525317</v>
      </c>
      <c r="AX32" s="104">
        <v>3.5230000000000001</v>
      </c>
      <c r="AY32" s="104">
        <v>4.0000000000000001E-3</v>
      </c>
      <c r="AZ32" s="104">
        <f>AY32/AX32</f>
        <v>1.1353959693443088E-3</v>
      </c>
      <c r="BA32" s="104">
        <v>0.25</v>
      </c>
      <c r="BB32" s="205">
        <v>0.1</v>
      </c>
      <c r="BC32" s="109">
        <f t="shared" si="17"/>
        <v>0.4</v>
      </c>
      <c r="BD32" s="215">
        <v>328.03800000000001</v>
      </c>
      <c r="BE32" s="205">
        <v>43.225999999999999</v>
      </c>
      <c r="BF32" s="104">
        <f>BE32/BD32</f>
        <v>0.13177131917643686</v>
      </c>
      <c r="BG32" s="104">
        <v>4350.8360599999996</v>
      </c>
      <c r="BH32" s="104">
        <v>10297.857029999999</v>
      </c>
      <c r="BI32" s="80">
        <f t="shared" si="3"/>
        <v>2.3668685484784735</v>
      </c>
    </row>
    <row r="34" spans="51:51" x14ac:dyDescent="0.3">
      <c r="AY34" s="216">
        <f>AX32+BA32</f>
        <v>3.7730000000000001</v>
      </c>
    </row>
  </sheetData>
  <mergeCells count="20">
    <mergeCell ref="AI1:AJ1"/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BD1:BE1"/>
    <mergeCell ref="BG1:BH1"/>
    <mergeCell ref="AL1:AM1"/>
    <mergeCell ref="AO1:AP1"/>
    <mergeCell ref="AR1:AS1"/>
    <mergeCell ref="AU1:AV1"/>
    <mergeCell ref="AX1:AY1"/>
    <mergeCell ref="BA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spi11-12</vt:lpstr>
      <vt:lpstr>Sheet1</vt:lpstr>
      <vt:lpstr>spi12-13</vt:lpstr>
      <vt:lpstr>spi13-14</vt:lpstr>
      <vt:lpstr>spi14-15</vt:lpstr>
      <vt:lpstr>spi16-17</vt:lpstr>
      <vt:lpstr>spi15-16</vt:lpstr>
      <vt:lpstr>spi17-18</vt:lpstr>
      <vt:lpstr>spi18-19</vt:lpstr>
      <vt:lpstr>spi19-20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</cp:lastModifiedBy>
  <dcterms:created xsi:type="dcterms:W3CDTF">2024-07-23T06:10:17Z</dcterms:created>
  <dcterms:modified xsi:type="dcterms:W3CDTF">2026-07-08T10:46:14Z</dcterms:modified>
</cp:coreProperties>
</file>